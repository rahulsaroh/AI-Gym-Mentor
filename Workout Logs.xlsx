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ahul\Softwares\AI Gym Mentor\AI Gym Mentor\"/>
    </mc:Choice>
  </mc:AlternateContent>
  <xr:revisionPtr revIDLastSave="0" documentId="13_ncr:1_{58D1964F-723F-4614-80CE-BA4061436936}" xr6:coauthVersionLast="47" xr6:coauthVersionMax="47" xr10:uidLastSave="{00000000-0000-0000-0000-000000000000}"/>
  <bookViews>
    <workbookView xWindow="0" yWindow="300" windowWidth="24240" windowHeight="13140" xr2:uid="{00000000-000D-0000-FFFF-FFFF00000000}"/>
  </bookViews>
  <sheets>
    <sheet name="Exercise Pla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43gSV7FkdBboc2EuJ2osLfqzSeItaEju+yPT1gzwcEA="/>
    </ext>
  </extLst>
</workbook>
</file>

<file path=xl/calcChain.xml><?xml version="1.0" encoding="utf-8"?>
<calcChain xmlns="http://schemas.openxmlformats.org/spreadsheetml/2006/main">
  <c r="Q190" i="4" l="1"/>
  <c r="N190" i="4"/>
  <c r="K190" i="4"/>
  <c r="H190" i="4"/>
  <c r="E190" i="4"/>
  <c r="R190" i="4" s="1"/>
  <c r="R189" i="4"/>
  <c r="Q189" i="4"/>
  <c r="N189" i="4"/>
  <c r="K189" i="4"/>
  <c r="H189" i="4"/>
  <c r="E189" i="4"/>
  <c r="Q188" i="4"/>
  <c r="N188" i="4"/>
  <c r="K188" i="4"/>
  <c r="H188" i="4"/>
  <c r="E188" i="4"/>
  <c r="R188" i="4" s="1"/>
  <c r="Q187" i="4"/>
  <c r="N187" i="4"/>
  <c r="K187" i="4"/>
  <c r="H187" i="4"/>
  <c r="R187" i="4" s="1"/>
  <c r="E187" i="4"/>
  <c r="Q186" i="4"/>
  <c r="N186" i="4"/>
  <c r="K186" i="4"/>
  <c r="H186" i="4"/>
  <c r="E186" i="4"/>
  <c r="R186" i="4" s="1"/>
  <c r="R185" i="4"/>
  <c r="Q185" i="4"/>
  <c r="N185" i="4"/>
  <c r="K185" i="4"/>
  <c r="H185" i="4"/>
  <c r="E185" i="4"/>
  <c r="Q184" i="4"/>
  <c r="N184" i="4"/>
  <c r="K184" i="4"/>
  <c r="H184" i="4"/>
  <c r="E184" i="4"/>
  <c r="R184" i="4" s="1"/>
  <c r="Q183" i="4"/>
  <c r="N183" i="4"/>
  <c r="K183" i="4"/>
  <c r="H183" i="4"/>
  <c r="R183" i="4" s="1"/>
  <c r="E183" i="4"/>
  <c r="Q182" i="4"/>
  <c r="N182" i="4"/>
  <c r="K182" i="4"/>
  <c r="H182" i="4"/>
  <c r="E182" i="4"/>
  <c r="R182" i="4" s="1"/>
  <c r="R181" i="4"/>
  <c r="Q181" i="4"/>
  <c r="N181" i="4"/>
  <c r="K181" i="4"/>
  <c r="H181" i="4"/>
  <c r="E181" i="4"/>
  <c r="Q180" i="4"/>
  <c r="N180" i="4"/>
  <c r="K180" i="4"/>
  <c r="H180" i="4"/>
  <c r="E180" i="4"/>
  <c r="R180" i="4" s="1"/>
  <c r="Q179" i="4"/>
  <c r="N179" i="4"/>
  <c r="K179" i="4"/>
  <c r="H179" i="4"/>
  <c r="R179" i="4" s="1"/>
  <c r="E179" i="4"/>
  <c r="Q178" i="4"/>
  <c r="N178" i="4"/>
  <c r="K178" i="4"/>
  <c r="H178" i="4"/>
  <c r="E178" i="4"/>
  <c r="R178" i="4" s="1"/>
  <c r="R177" i="4"/>
  <c r="Q177" i="4"/>
  <c r="N177" i="4"/>
  <c r="K177" i="4"/>
  <c r="H177" i="4"/>
  <c r="E177" i="4"/>
  <c r="Q176" i="4"/>
  <c r="N176" i="4"/>
  <c r="K176" i="4"/>
  <c r="H176" i="4"/>
  <c r="E176" i="4"/>
  <c r="R176" i="4" s="1"/>
  <c r="Q175" i="4"/>
  <c r="N175" i="4"/>
  <c r="K175" i="4"/>
  <c r="H175" i="4"/>
  <c r="R175" i="4" s="1"/>
  <c r="E175" i="4"/>
  <c r="Q169" i="4"/>
  <c r="N169" i="4"/>
  <c r="K169" i="4"/>
  <c r="H169" i="4"/>
  <c r="E169" i="4"/>
  <c r="R169" i="4" s="1"/>
  <c r="R168" i="4"/>
  <c r="Q168" i="4"/>
  <c r="N168" i="4"/>
  <c r="K168" i="4"/>
  <c r="H168" i="4"/>
  <c r="E168" i="4"/>
  <c r="Q167" i="4"/>
  <c r="N167" i="4"/>
  <c r="K167" i="4"/>
  <c r="H167" i="4"/>
  <c r="E167" i="4"/>
  <c r="R167" i="4" s="1"/>
  <c r="Q166" i="4"/>
  <c r="N166" i="4"/>
  <c r="K166" i="4"/>
  <c r="H166" i="4"/>
  <c r="R166" i="4" s="1"/>
  <c r="E166" i="4"/>
  <c r="Q165" i="4"/>
  <c r="N165" i="4"/>
  <c r="R165" i="4" s="1"/>
  <c r="K165" i="4"/>
  <c r="H165" i="4"/>
  <c r="E165" i="4"/>
  <c r="R163" i="4"/>
  <c r="Q163" i="4"/>
  <c r="N163" i="4"/>
  <c r="K163" i="4"/>
  <c r="H163" i="4"/>
  <c r="E163" i="4"/>
  <c r="Q162" i="4"/>
  <c r="N162" i="4"/>
  <c r="K162" i="4"/>
  <c r="H162" i="4"/>
  <c r="E162" i="4"/>
  <c r="R162" i="4" s="1"/>
  <c r="Q161" i="4"/>
  <c r="N161" i="4"/>
  <c r="K161" i="4"/>
  <c r="H161" i="4"/>
  <c r="R161" i="4" s="1"/>
  <c r="E161" i="4"/>
  <c r="Q160" i="4"/>
  <c r="N160" i="4"/>
  <c r="K160" i="4"/>
  <c r="H160" i="4"/>
  <c r="E160" i="4"/>
  <c r="R160" i="4" s="1"/>
  <c r="R159" i="4"/>
  <c r="Q159" i="4"/>
  <c r="N159" i="4"/>
  <c r="K159" i="4"/>
  <c r="H159" i="4"/>
  <c r="E159" i="4"/>
  <c r="Q158" i="4"/>
  <c r="N158" i="4"/>
  <c r="K158" i="4"/>
  <c r="H158" i="4"/>
  <c r="E158" i="4"/>
  <c r="R158" i="4" s="1"/>
  <c r="Q157" i="4"/>
  <c r="N157" i="4"/>
  <c r="K157" i="4"/>
  <c r="H157" i="4"/>
  <c r="R157" i="4" s="1"/>
  <c r="E157" i="4"/>
  <c r="Q156" i="4"/>
  <c r="N156" i="4"/>
  <c r="K156" i="4"/>
  <c r="H156" i="4"/>
  <c r="E156" i="4"/>
  <c r="R156" i="4" s="1"/>
  <c r="R155" i="4"/>
  <c r="Q155" i="4"/>
  <c r="N155" i="4"/>
  <c r="K155" i="4"/>
  <c r="H155" i="4"/>
  <c r="E155" i="4"/>
  <c r="Q154" i="4"/>
  <c r="N154" i="4"/>
  <c r="K154" i="4"/>
  <c r="H154" i="4"/>
  <c r="E154" i="4"/>
  <c r="R154" i="4" s="1"/>
  <c r="Q153" i="4"/>
  <c r="N153" i="4"/>
  <c r="K153" i="4"/>
  <c r="H153" i="4"/>
  <c r="R153" i="4" s="1"/>
  <c r="E153" i="4"/>
  <c r="Q126" i="4"/>
  <c r="N126" i="4"/>
  <c r="K126" i="4"/>
  <c r="H126" i="4"/>
  <c r="E126" i="4"/>
  <c r="R126" i="4" s="1"/>
  <c r="Q125" i="4"/>
  <c r="R125" i="4" s="1"/>
  <c r="N125" i="4"/>
  <c r="K125" i="4"/>
  <c r="H125" i="4"/>
  <c r="E125" i="4"/>
  <c r="Q124" i="4"/>
  <c r="N124" i="4"/>
  <c r="K124" i="4"/>
  <c r="H124" i="4"/>
  <c r="E124" i="4"/>
  <c r="Q123" i="4"/>
  <c r="N123" i="4"/>
  <c r="K123" i="4"/>
  <c r="H123" i="4"/>
  <c r="E123" i="4"/>
  <c r="R123" i="4" s="1"/>
  <c r="Q122" i="4"/>
  <c r="N122" i="4"/>
  <c r="K122" i="4"/>
  <c r="H122" i="4"/>
  <c r="E122" i="4"/>
  <c r="Q121" i="4"/>
  <c r="N121" i="4"/>
  <c r="K121" i="4"/>
  <c r="H121" i="4"/>
  <c r="E121" i="4"/>
  <c r="R121" i="4" s="1"/>
  <c r="Q120" i="4"/>
  <c r="N120" i="4"/>
  <c r="K120" i="4"/>
  <c r="H120" i="4"/>
  <c r="E120" i="4"/>
  <c r="R120" i="4" s="1"/>
  <c r="Q119" i="4"/>
  <c r="N119" i="4"/>
  <c r="K119" i="4"/>
  <c r="H119" i="4"/>
  <c r="E119" i="4"/>
  <c r="Q118" i="4"/>
  <c r="N118" i="4"/>
  <c r="K118" i="4"/>
  <c r="H118" i="4"/>
  <c r="E118" i="4"/>
  <c r="Q117" i="4"/>
  <c r="N117" i="4"/>
  <c r="K117" i="4"/>
  <c r="H117" i="4"/>
  <c r="E117" i="4"/>
  <c r="R117" i="4" s="1"/>
  <c r="Q116" i="4"/>
  <c r="N116" i="4"/>
  <c r="K116" i="4"/>
  <c r="H116" i="4"/>
  <c r="E116" i="4"/>
  <c r="Q115" i="4"/>
  <c r="N115" i="4"/>
  <c r="K115" i="4"/>
  <c r="H115" i="4"/>
  <c r="E115" i="4"/>
  <c r="R115" i="4" s="1"/>
  <c r="Q114" i="4"/>
  <c r="N114" i="4"/>
  <c r="K114" i="4"/>
  <c r="H114" i="4"/>
  <c r="E114" i="4"/>
  <c r="Q113" i="4"/>
  <c r="N113" i="4"/>
  <c r="R113" i="4" s="1"/>
  <c r="K113" i="4"/>
  <c r="H113" i="4"/>
  <c r="E113" i="4"/>
  <c r="Q112" i="4"/>
  <c r="N112" i="4"/>
  <c r="K112" i="4"/>
  <c r="H112" i="4"/>
  <c r="E112" i="4"/>
  <c r="R112" i="4" s="1"/>
  <c r="Q111" i="4"/>
  <c r="N111" i="4"/>
  <c r="K111" i="4"/>
  <c r="H111" i="4"/>
  <c r="E111" i="4"/>
  <c r="Q105" i="4"/>
  <c r="N105" i="4"/>
  <c r="K105" i="4"/>
  <c r="H105" i="4"/>
  <c r="E105" i="4"/>
  <c r="Q104" i="4"/>
  <c r="N104" i="4"/>
  <c r="K104" i="4"/>
  <c r="H104" i="4"/>
  <c r="E104" i="4"/>
  <c r="Q103" i="4"/>
  <c r="N103" i="4"/>
  <c r="K103" i="4"/>
  <c r="H103" i="4"/>
  <c r="E103" i="4"/>
  <c r="Q102" i="4"/>
  <c r="N102" i="4"/>
  <c r="K102" i="4"/>
  <c r="H102" i="4"/>
  <c r="E102" i="4"/>
  <c r="Q100" i="4"/>
  <c r="N100" i="4"/>
  <c r="K100" i="4"/>
  <c r="H100" i="4"/>
  <c r="E100" i="4"/>
  <c r="Q99" i="4"/>
  <c r="N99" i="4"/>
  <c r="K99" i="4"/>
  <c r="H99" i="4"/>
  <c r="E99" i="4"/>
  <c r="Q98" i="4"/>
  <c r="N98" i="4"/>
  <c r="K98" i="4"/>
  <c r="H98" i="4"/>
  <c r="E98" i="4"/>
  <c r="Q97" i="4"/>
  <c r="N97" i="4"/>
  <c r="K97" i="4"/>
  <c r="H97" i="4"/>
  <c r="E97" i="4"/>
  <c r="Q96" i="4"/>
  <c r="N96" i="4"/>
  <c r="K96" i="4"/>
  <c r="H96" i="4"/>
  <c r="E96" i="4"/>
  <c r="Q95" i="4"/>
  <c r="N95" i="4"/>
  <c r="K95" i="4"/>
  <c r="H95" i="4"/>
  <c r="E95" i="4"/>
  <c r="Q94" i="4"/>
  <c r="N94" i="4"/>
  <c r="K94" i="4"/>
  <c r="H94" i="4"/>
  <c r="E94" i="4"/>
  <c r="Q93" i="4"/>
  <c r="N93" i="4"/>
  <c r="K93" i="4"/>
  <c r="H93" i="4"/>
  <c r="E93" i="4"/>
  <c r="Q92" i="4"/>
  <c r="N92" i="4"/>
  <c r="K92" i="4"/>
  <c r="H92" i="4"/>
  <c r="E92" i="4"/>
  <c r="Q91" i="4"/>
  <c r="N91" i="4"/>
  <c r="K91" i="4"/>
  <c r="H91" i="4"/>
  <c r="E91" i="4"/>
  <c r="Q90" i="4"/>
  <c r="N90" i="4"/>
  <c r="K90" i="4"/>
  <c r="H90" i="4"/>
  <c r="E90" i="4"/>
  <c r="Q65" i="4"/>
  <c r="N65" i="4"/>
  <c r="K65" i="4"/>
  <c r="H65" i="4"/>
  <c r="E65" i="4"/>
  <c r="Q64" i="4"/>
  <c r="N64" i="4"/>
  <c r="K64" i="4"/>
  <c r="H64" i="4"/>
  <c r="E64" i="4"/>
  <c r="Q63" i="4"/>
  <c r="N63" i="4"/>
  <c r="K63" i="4"/>
  <c r="H63" i="4"/>
  <c r="E63" i="4"/>
  <c r="Q62" i="4"/>
  <c r="N62" i="4"/>
  <c r="K62" i="4"/>
  <c r="H62" i="4"/>
  <c r="E62" i="4"/>
  <c r="Q61" i="4"/>
  <c r="N61" i="4"/>
  <c r="K61" i="4"/>
  <c r="H61" i="4"/>
  <c r="E61" i="4"/>
  <c r="Q60" i="4"/>
  <c r="N60" i="4"/>
  <c r="K60" i="4"/>
  <c r="H60" i="4"/>
  <c r="E60" i="4"/>
  <c r="Q59" i="4"/>
  <c r="N59" i="4"/>
  <c r="K59" i="4"/>
  <c r="H59" i="4"/>
  <c r="E59" i="4"/>
  <c r="Q58" i="4"/>
  <c r="N58" i="4"/>
  <c r="K58" i="4"/>
  <c r="H58" i="4"/>
  <c r="E58" i="4"/>
  <c r="Q57" i="4"/>
  <c r="N57" i="4"/>
  <c r="K57" i="4"/>
  <c r="H57" i="4"/>
  <c r="E57" i="4"/>
  <c r="Q56" i="4"/>
  <c r="N56" i="4"/>
  <c r="K56" i="4"/>
  <c r="H56" i="4"/>
  <c r="E56" i="4"/>
  <c r="Q55" i="4"/>
  <c r="N55" i="4"/>
  <c r="K55" i="4"/>
  <c r="H55" i="4"/>
  <c r="E55" i="4"/>
  <c r="Q54" i="4"/>
  <c r="N54" i="4"/>
  <c r="K54" i="4"/>
  <c r="H54" i="4"/>
  <c r="E54" i="4"/>
  <c r="Q53" i="4"/>
  <c r="N53" i="4"/>
  <c r="K53" i="4"/>
  <c r="H53" i="4"/>
  <c r="E53" i="4"/>
  <c r="Q52" i="4"/>
  <c r="N52" i="4"/>
  <c r="K52" i="4"/>
  <c r="H52" i="4"/>
  <c r="E52" i="4"/>
  <c r="Q51" i="4"/>
  <c r="N51" i="4"/>
  <c r="K51" i="4"/>
  <c r="H51" i="4"/>
  <c r="E51" i="4"/>
  <c r="Q50" i="4"/>
  <c r="N50" i="4"/>
  <c r="K50" i="4"/>
  <c r="H50" i="4"/>
  <c r="E50" i="4"/>
  <c r="Q42" i="4"/>
  <c r="N42" i="4"/>
  <c r="K42" i="4"/>
  <c r="H42" i="4"/>
  <c r="E42" i="4"/>
  <c r="Q41" i="4"/>
  <c r="N41" i="4"/>
  <c r="K41" i="4"/>
  <c r="H41" i="4"/>
  <c r="E41" i="4"/>
  <c r="Q40" i="4"/>
  <c r="N40" i="4"/>
  <c r="K40" i="4"/>
  <c r="H40" i="4"/>
  <c r="E40" i="4"/>
  <c r="Q39" i="4"/>
  <c r="N39" i="4"/>
  <c r="K39" i="4"/>
  <c r="H39" i="4"/>
  <c r="E39" i="4"/>
  <c r="Q38" i="4"/>
  <c r="N38" i="4"/>
  <c r="K38" i="4"/>
  <c r="H38" i="4"/>
  <c r="E38" i="4"/>
  <c r="Q37" i="4"/>
  <c r="N37" i="4"/>
  <c r="K37" i="4"/>
  <c r="H37" i="4"/>
  <c r="E37" i="4"/>
  <c r="Q36" i="4"/>
  <c r="N36" i="4"/>
  <c r="K36" i="4"/>
  <c r="H36" i="4"/>
  <c r="E36" i="4"/>
  <c r="Q35" i="4"/>
  <c r="N35" i="4"/>
  <c r="K35" i="4"/>
  <c r="H35" i="4"/>
  <c r="E35" i="4"/>
  <c r="Q34" i="4"/>
  <c r="N34" i="4"/>
  <c r="K34" i="4"/>
  <c r="H34" i="4"/>
  <c r="E34" i="4"/>
  <c r="Q33" i="4"/>
  <c r="N33" i="4"/>
  <c r="K33" i="4"/>
  <c r="H33" i="4"/>
  <c r="E33" i="4"/>
  <c r="Q32" i="4"/>
  <c r="N32" i="4"/>
  <c r="K32" i="4"/>
  <c r="H32" i="4"/>
  <c r="E32" i="4"/>
  <c r="Q31" i="4"/>
  <c r="N31" i="4"/>
  <c r="K31" i="4"/>
  <c r="H31" i="4"/>
  <c r="E31" i="4"/>
  <c r="Q30" i="4"/>
  <c r="N30" i="4"/>
  <c r="K30" i="4"/>
  <c r="H30" i="4"/>
  <c r="E30" i="4"/>
  <c r="Q29" i="4"/>
  <c r="N29" i="4"/>
  <c r="K29" i="4"/>
  <c r="H29" i="4"/>
  <c r="E29" i="4"/>
  <c r="Q28" i="4"/>
  <c r="N28" i="4"/>
  <c r="K28" i="4"/>
  <c r="H28" i="4"/>
  <c r="E28" i="4"/>
  <c r="Q27" i="4"/>
  <c r="N27" i="4"/>
  <c r="K27" i="4"/>
  <c r="H27" i="4"/>
  <c r="E27" i="4"/>
  <c r="Q147" i="4"/>
  <c r="N147" i="4"/>
  <c r="K147" i="4"/>
  <c r="H147" i="4"/>
  <c r="E147" i="4"/>
  <c r="Q146" i="4"/>
  <c r="N146" i="4"/>
  <c r="K146" i="4"/>
  <c r="H146" i="4"/>
  <c r="E146" i="4"/>
  <c r="Q145" i="4"/>
  <c r="N145" i="4"/>
  <c r="K145" i="4"/>
  <c r="H145" i="4"/>
  <c r="E145" i="4"/>
  <c r="Q144" i="4"/>
  <c r="N144" i="4"/>
  <c r="K144" i="4"/>
  <c r="H144" i="4"/>
  <c r="E144" i="4"/>
  <c r="Q143" i="4"/>
  <c r="N143" i="4"/>
  <c r="K143" i="4"/>
  <c r="H143" i="4"/>
  <c r="E143" i="4"/>
  <c r="Q142" i="4"/>
  <c r="N142" i="4"/>
  <c r="K142" i="4"/>
  <c r="H142" i="4"/>
  <c r="E142" i="4"/>
  <c r="Q141" i="4"/>
  <c r="N141" i="4"/>
  <c r="K141" i="4"/>
  <c r="H141" i="4"/>
  <c r="E141" i="4"/>
  <c r="Q140" i="4"/>
  <c r="N140" i="4"/>
  <c r="K140" i="4"/>
  <c r="H140" i="4"/>
  <c r="E140" i="4"/>
  <c r="Q139" i="4"/>
  <c r="N139" i="4"/>
  <c r="K139" i="4"/>
  <c r="H139" i="4"/>
  <c r="E139" i="4"/>
  <c r="Q138" i="4"/>
  <c r="N138" i="4"/>
  <c r="K138" i="4"/>
  <c r="H138" i="4"/>
  <c r="E138" i="4"/>
  <c r="Q137" i="4"/>
  <c r="N137" i="4"/>
  <c r="K137" i="4"/>
  <c r="H137" i="4"/>
  <c r="E137" i="4"/>
  <c r="Q136" i="4"/>
  <c r="N136" i="4"/>
  <c r="K136" i="4"/>
  <c r="H136" i="4"/>
  <c r="E136" i="4"/>
  <c r="Q135" i="4"/>
  <c r="N135" i="4"/>
  <c r="K135" i="4"/>
  <c r="H135" i="4"/>
  <c r="E135" i="4"/>
  <c r="Q134" i="4"/>
  <c r="N134" i="4"/>
  <c r="K134" i="4"/>
  <c r="H134" i="4"/>
  <c r="E134" i="4"/>
  <c r="Q133" i="4"/>
  <c r="N133" i="4"/>
  <c r="K133" i="4"/>
  <c r="H133" i="4"/>
  <c r="E133" i="4"/>
  <c r="Q132" i="4"/>
  <c r="N132" i="4"/>
  <c r="K132" i="4"/>
  <c r="H132" i="4"/>
  <c r="E132" i="4"/>
  <c r="Q85" i="4"/>
  <c r="N85" i="4"/>
  <c r="K85" i="4"/>
  <c r="H85" i="4"/>
  <c r="E85" i="4"/>
  <c r="Q84" i="4"/>
  <c r="N84" i="4"/>
  <c r="K84" i="4"/>
  <c r="H84" i="4"/>
  <c r="E84" i="4"/>
  <c r="Q83" i="4"/>
  <c r="N83" i="4"/>
  <c r="K83" i="4"/>
  <c r="H83" i="4"/>
  <c r="E83" i="4"/>
  <c r="Q82" i="4"/>
  <c r="N82" i="4"/>
  <c r="K82" i="4"/>
  <c r="H82" i="4"/>
  <c r="E82" i="4"/>
  <c r="Q81" i="4"/>
  <c r="N81" i="4"/>
  <c r="K81" i="4"/>
  <c r="H81" i="4"/>
  <c r="E81" i="4"/>
  <c r="Q80" i="4"/>
  <c r="N80" i="4"/>
  <c r="K80" i="4"/>
  <c r="H80" i="4"/>
  <c r="E80" i="4"/>
  <c r="Q79" i="4"/>
  <c r="N79" i="4"/>
  <c r="K79" i="4"/>
  <c r="H79" i="4"/>
  <c r="E79" i="4"/>
  <c r="Q78" i="4"/>
  <c r="N78" i="4"/>
  <c r="K78" i="4"/>
  <c r="H78" i="4"/>
  <c r="E78" i="4"/>
  <c r="Q77" i="4"/>
  <c r="N77" i="4"/>
  <c r="K77" i="4"/>
  <c r="H77" i="4"/>
  <c r="E77" i="4"/>
  <c r="Q76" i="4"/>
  <c r="N76" i="4"/>
  <c r="K76" i="4"/>
  <c r="H76" i="4"/>
  <c r="E76" i="4"/>
  <c r="Q75" i="4"/>
  <c r="N75" i="4"/>
  <c r="K75" i="4"/>
  <c r="H75" i="4"/>
  <c r="E75" i="4"/>
  <c r="Q74" i="4"/>
  <c r="N74" i="4"/>
  <c r="K74" i="4"/>
  <c r="H74" i="4"/>
  <c r="E74" i="4"/>
  <c r="Q73" i="4"/>
  <c r="N73" i="4"/>
  <c r="K73" i="4"/>
  <c r="H73" i="4"/>
  <c r="E73" i="4"/>
  <c r="Q72" i="4"/>
  <c r="N72" i="4"/>
  <c r="K72" i="4"/>
  <c r="H72" i="4"/>
  <c r="E72" i="4"/>
  <c r="Q71" i="4"/>
  <c r="N71" i="4"/>
  <c r="K71" i="4"/>
  <c r="H71" i="4"/>
  <c r="E71" i="4"/>
  <c r="Q20" i="4"/>
  <c r="N20" i="4"/>
  <c r="K20" i="4"/>
  <c r="H20" i="4"/>
  <c r="E20" i="4"/>
  <c r="Q19" i="4"/>
  <c r="N19" i="4"/>
  <c r="K19" i="4"/>
  <c r="H19" i="4"/>
  <c r="E19" i="4"/>
  <c r="Q18" i="4"/>
  <c r="N18" i="4"/>
  <c r="K18" i="4"/>
  <c r="H18" i="4"/>
  <c r="E18" i="4"/>
  <c r="Q17" i="4"/>
  <c r="N17" i="4"/>
  <c r="K17" i="4"/>
  <c r="H17" i="4"/>
  <c r="E17" i="4"/>
  <c r="Q16" i="4"/>
  <c r="N16" i="4"/>
  <c r="K16" i="4"/>
  <c r="H16" i="4"/>
  <c r="E16" i="4"/>
  <c r="Q15" i="4"/>
  <c r="N15" i="4"/>
  <c r="K15" i="4"/>
  <c r="H15" i="4"/>
  <c r="E15" i="4"/>
  <c r="Q14" i="4"/>
  <c r="N14" i="4"/>
  <c r="K14" i="4"/>
  <c r="H14" i="4"/>
  <c r="E14" i="4"/>
  <c r="Q13" i="4"/>
  <c r="N13" i="4"/>
  <c r="K13" i="4"/>
  <c r="H13" i="4"/>
  <c r="E13" i="4"/>
  <c r="Q12" i="4"/>
  <c r="N12" i="4"/>
  <c r="K12" i="4"/>
  <c r="H12" i="4"/>
  <c r="E12" i="4"/>
  <c r="Q11" i="4"/>
  <c r="N11" i="4"/>
  <c r="K11" i="4"/>
  <c r="H11" i="4"/>
  <c r="E11" i="4"/>
  <c r="Q10" i="4"/>
  <c r="N10" i="4"/>
  <c r="K10" i="4"/>
  <c r="H10" i="4"/>
  <c r="E10" i="4"/>
  <c r="Q9" i="4"/>
  <c r="N9" i="4"/>
  <c r="K9" i="4"/>
  <c r="H9" i="4"/>
  <c r="E9" i="4"/>
  <c r="Q8" i="4"/>
  <c r="N8" i="4"/>
  <c r="K8" i="4"/>
  <c r="H8" i="4"/>
  <c r="E8" i="4"/>
  <c r="Q7" i="4"/>
  <c r="N7" i="4"/>
  <c r="K7" i="4"/>
  <c r="H7" i="4"/>
  <c r="E7" i="4"/>
  <c r="Q6" i="4"/>
  <c r="N6" i="4"/>
  <c r="K6" i="4"/>
  <c r="H6" i="4"/>
  <c r="E6" i="4"/>
  <c r="Q5" i="4"/>
  <c r="N5" i="4"/>
  <c r="K5" i="4"/>
  <c r="H5" i="4"/>
  <c r="E5" i="4"/>
  <c r="R93" i="4" l="1"/>
  <c r="R102" i="4"/>
  <c r="R124" i="4"/>
  <c r="R111" i="4"/>
  <c r="R118" i="4"/>
  <c r="R114" i="4"/>
  <c r="R116" i="4"/>
  <c r="R119" i="4"/>
  <c r="R122" i="4"/>
  <c r="R96" i="4"/>
  <c r="R105" i="4"/>
  <c r="R99" i="4"/>
  <c r="R104" i="4"/>
  <c r="R90" i="4"/>
  <c r="R91" i="4"/>
  <c r="R98" i="4"/>
  <c r="R95" i="4"/>
  <c r="R56" i="4"/>
  <c r="R103" i="4"/>
  <c r="R92" i="4"/>
  <c r="R31" i="4"/>
  <c r="R39" i="4"/>
  <c r="R94" i="4"/>
  <c r="R100" i="4"/>
  <c r="R97" i="4"/>
  <c r="R60" i="4"/>
  <c r="R64" i="4"/>
  <c r="R52" i="4"/>
  <c r="R63" i="4"/>
  <c r="R51" i="4"/>
  <c r="R54" i="4"/>
  <c r="R57" i="4"/>
  <c r="R10" i="4"/>
  <c r="R59" i="4"/>
  <c r="R65" i="4"/>
  <c r="R53" i="4"/>
  <c r="R62" i="4"/>
  <c r="R50" i="4"/>
  <c r="R55" i="4"/>
  <c r="R61" i="4"/>
  <c r="R34" i="4"/>
  <c r="R42" i="4"/>
  <c r="R58" i="4"/>
  <c r="R137" i="4"/>
  <c r="R27" i="4"/>
  <c r="R35" i="4"/>
  <c r="R29" i="4"/>
  <c r="R37" i="4"/>
  <c r="R41" i="4"/>
  <c r="R32" i="4"/>
  <c r="R40" i="4"/>
  <c r="R138" i="4"/>
  <c r="R33" i="4"/>
  <c r="R28" i="4"/>
  <c r="R30" i="4"/>
  <c r="R36" i="4"/>
  <c r="R38" i="4"/>
  <c r="R71" i="4"/>
  <c r="R84" i="4"/>
  <c r="R78" i="4"/>
  <c r="R17" i="4"/>
  <c r="R132" i="4"/>
  <c r="R14" i="4"/>
  <c r="R134" i="4"/>
  <c r="R145" i="4"/>
  <c r="R6" i="4"/>
  <c r="R19" i="4"/>
  <c r="R142" i="4"/>
  <c r="R12" i="4"/>
  <c r="R76" i="4"/>
  <c r="R82" i="4"/>
  <c r="R74" i="4"/>
  <c r="R8" i="4"/>
  <c r="R79" i="4"/>
  <c r="R147" i="4"/>
  <c r="R20" i="4"/>
  <c r="R72" i="4"/>
  <c r="R133" i="4"/>
  <c r="R135" i="4"/>
  <c r="R9" i="4"/>
  <c r="R5" i="4"/>
  <c r="R75" i="4"/>
  <c r="R141" i="4"/>
  <c r="R146" i="4"/>
  <c r="R136" i="4"/>
  <c r="R7" i="4"/>
  <c r="R80" i="4"/>
  <c r="R143" i="4"/>
  <c r="R144" i="4"/>
  <c r="R13" i="4"/>
  <c r="R15" i="4"/>
  <c r="R16" i="4"/>
  <c r="R18" i="4"/>
  <c r="R83" i="4"/>
  <c r="R85" i="4"/>
  <c r="R140" i="4"/>
  <c r="R73" i="4"/>
  <c r="R11" i="4"/>
  <c r="R139" i="4"/>
  <c r="R81" i="4"/>
  <c r="R77" i="4"/>
</calcChain>
</file>

<file path=xl/sharedStrings.xml><?xml version="1.0" encoding="utf-8"?>
<sst xmlns="http://schemas.openxmlformats.org/spreadsheetml/2006/main" count="712" uniqueCount="241">
  <si>
    <t>💪  Push Day — Session Log</t>
  </si>
  <si>
    <t>Fill in: Date · Week · Phase · then each exercise. Log every set as you do it.</t>
  </si>
  <si>
    <t>Date:</t>
  </si>
  <si>
    <t>Week #:</t>
  </si>
  <si>
    <t>Phase (1–4):</t>
  </si>
  <si>
    <t>Day (A or B):</t>
  </si>
  <si>
    <t>Session #:</t>
  </si>
  <si>
    <t>Duration (min):</t>
  </si>
  <si>
    <t>Energy 1–10:</t>
  </si>
  <si>
    <t>Notes:</t>
  </si>
  <si>
    <t>Push A - Chest, Shoulders, Triceps</t>
  </si>
  <si>
    <t>Notes / Cues</t>
  </si>
  <si>
    <t>Set 1
Weight (kg)</t>
  </si>
  <si>
    <t>Set 1
Reps</t>
  </si>
  <si>
    <t>Set 1
1RM</t>
  </si>
  <si>
    <t>Set 2
Weight (kg)</t>
  </si>
  <si>
    <t>Set 2
Reps</t>
  </si>
  <si>
    <t>Set 2
1RM</t>
  </si>
  <si>
    <t>Set 3
Weight (kg)</t>
  </si>
  <si>
    <t>Set 3
Reps</t>
  </si>
  <si>
    <t>Set 3
1RM</t>
  </si>
  <si>
    <t>Set 4
Weight (kg)</t>
  </si>
  <si>
    <t>Set 4
Reps</t>
  </si>
  <si>
    <t>Set 4
1RM</t>
  </si>
  <si>
    <t>Set 5
Weight (kg)</t>
  </si>
  <si>
    <t>Set 5
Reps</t>
  </si>
  <si>
    <t>Set 5
1RM</t>
  </si>
  <si>
    <t>Best
1RM Today</t>
  </si>
  <si>
    <t>Default
Sets</t>
  </si>
  <si>
    <t>Default
Reps</t>
  </si>
  <si>
    <t>Arm circles + shoulder rolls</t>
  </si>
  <si>
    <t>60 sec each direction</t>
  </si>
  <si>
    <t>Band pull-apart</t>
  </si>
  <si>
    <t>2x15 reps</t>
  </si>
  <si>
    <t>Incline Push-ups</t>
  </si>
  <si>
    <t>slow 2x10 reps</t>
  </si>
  <si>
    <t>Light Dumbell Lateral Raise</t>
  </si>
  <si>
    <t>1x15 reps</t>
  </si>
  <si>
    <t>Dumbbell flat bench press</t>
  </si>
  <si>
    <t>Bench. Full ROM, elbows 45°. Primary chest builder.</t>
  </si>
  <si>
    <t>3</t>
  </si>
  <si>
    <t>12–15</t>
  </si>
  <si>
    <t>Dumbbell incline press</t>
  </si>
  <si>
    <t>45° bench angle. Hits upper chest for V-taper.</t>
  </si>
  <si>
    <t>15</t>
  </si>
  <si>
    <t>Dumbbell lateral raise</t>
  </si>
  <si>
    <t>Slow eccentric 3 sec. KEY for shoulder width.</t>
  </si>
  <si>
    <t>Standing dumbbell OHP</t>
  </si>
  <si>
    <t>Core braced. Don't flare elbows excessively.</t>
  </si>
  <si>
    <t>Cable/Band Chest Fly</t>
  </si>
  <si>
    <t>Deep stretch. Peak chest contraction.</t>
  </si>
  <si>
    <t>Tricep Cable/Band Pushdown</t>
  </si>
  <si>
    <t>Elbows fixed. Full extension. Triceps = 2/3 of arm.</t>
  </si>
  <si>
    <t>Overhead DB Tricep Extension</t>
  </si>
  <si>
    <t>Long head stretch. Arms bigger from behind.</t>
  </si>
  <si>
    <t>2</t>
  </si>
  <si>
    <t>BAG: Straight Punch Rounds</t>
  </si>
  <si>
    <t>3×1 min. Hands up. Exhale each punch.</t>
  </si>
  <si>
    <t>Door-frame chest stretch</t>
  </si>
  <si>
    <t>Across-body shoulder stretch</t>
  </si>
  <si>
    <t>Tricep Overhead Stretch</t>
  </si>
  <si>
    <t>Child's Pose</t>
  </si>
  <si>
    <t>1 min</t>
  </si>
  <si>
    <t>SESSION TOTAL SETS COMPLETED</t>
  </si>
  <si>
    <t xml:space="preserve">  Progressive overload rule: If you complete ALL reps of ALL sets, INCREASE the weight by 1–2.5 kg next session.</t>
  </si>
  <si>
    <t>Thursday</t>
  </si>
  <si>
    <t>Push B — Shoulders Focus, Chest, Triceps</t>
  </si>
  <si>
    <t>Rotator cuff internal/external rotation</t>
  </si>
  <si>
    <t>each 2x12  reps</t>
  </si>
  <si>
    <t>Wall shoulder CARs</t>
  </si>
  <si>
    <t>5 slow circles each arm</t>
  </si>
  <si>
    <t>Light lateral raise</t>
  </si>
  <si>
    <t>1×20 reps</t>
  </si>
  <si>
    <t>Dumbbell Arnold Press</t>
  </si>
  <si>
    <t>Rotation hits all 3 delt heads. V-taper essential.</t>
  </si>
  <si>
    <t>12–16</t>
  </si>
  <si>
    <t>Dumbbell front raise</t>
  </si>
  <si>
    <t>Combined arms. Controlled, no swinging.</t>
  </si>
  <si>
    <t>Dumbbell Lateral Raise (drop set)</t>
  </si>
  <si>
    <t>4 sec negative. Most important exercise for width.</t>
  </si>
  <si>
    <t>16</t>
  </si>
  <si>
    <t>Push-ups (feet elevated)</t>
  </si>
  <si>
    <t>Elevated feet shift load to upper chest.</t>
  </si>
  <si>
    <t>Dumbbell decline press</t>
  </si>
  <si>
    <t>Lower chest definition. Decline on bench.</t>
  </si>
  <si>
    <t>Cable/Band  overhead tricep</t>
  </si>
  <si>
    <t>Long head stretch. Width to arms.</t>
  </si>
  <si>
    <t>Diamond push-ups</t>
  </si>
  <si>
    <t>Bodyweight finisher. Medial tricep.</t>
  </si>
  <si>
    <t>Pec minor stretch (doorway)</t>
  </si>
  <si>
    <t>40 sec each side</t>
  </si>
  <si>
    <t>Overhead shoulder stretch</t>
  </si>
  <si>
    <t>30 sec each</t>
  </si>
  <si>
    <t>Wrist flexor/extensor stretch</t>
  </si>
  <si>
    <t>Thoracic spine foam roll / floor</t>
  </si>
  <si>
    <t>60 sec</t>
  </si>
  <si>
    <t>61 sec each direction</t>
  </si>
  <si>
    <t>4</t>
  </si>
  <si>
    <t>2 min</t>
  </si>
  <si>
    <t>61 sec</t>
  </si>
  <si>
    <t>20</t>
  </si>
  <si>
    <t>8</t>
  </si>
  <si>
    <t>45 sec each side</t>
  </si>
  <si>
    <t>12</t>
  </si>
  <si>
    <t>💪  Pull Day — Session Log</t>
  </si>
  <si>
    <t>Pull A</t>
  </si>
  <si>
    <t>Scapular wall slides</t>
  </si>
  <si>
    <t>back on wall and slide hands on wall 2x10 reps</t>
  </si>
  <si>
    <t>Band face pull</t>
  </si>
  <si>
    <t>Dead hang on pull-up bar</t>
  </si>
  <si>
    <t>2x20 sec</t>
  </si>
  <si>
    <t>Band pull apart with external rotation</t>
  </si>
  <si>
    <t>2x12 reps</t>
  </si>
  <si>
    <t>Pull-ups / assisted pull-ups (wide Grip)</t>
  </si>
  <si>
    <t>V-taper KING. Band assist if needed.</t>
  </si>
  <si>
    <t>Max</t>
  </si>
  <si>
    <t>Dumbbell Bent-Over Row</t>
  </si>
  <si>
    <t xml:space="preserve">Elbows back, not flared. Squeeze at top.Mid-back thickness. </t>
  </si>
  <si>
    <t>Cable/Pulley Lat Pulldown</t>
  </si>
  <si>
    <t>Wide grip. Pull to upper chest. Stretch at top.</t>
  </si>
  <si>
    <t>Dumbbell Reverse Fly</t>
  </si>
  <si>
    <t>Rear delts. Slow arc. 3D shoulder look.</t>
  </si>
  <si>
    <t>Dumbbell Face Pull (bent over)</t>
  </si>
  <si>
    <t>Elbows high. Rotator cuff + posture.</t>
  </si>
  <si>
    <t>Dumbbell Hammer Curl</t>
  </si>
  <si>
    <t>60° bench. Long head bicep peak.</t>
  </si>
  <si>
    <t>Barbell-style curl (DB)</t>
  </si>
  <si>
    <t>Supinated grip. Full ROM, no swinging.</t>
  </si>
  <si>
    <t>BAG: Hooks + Uppercuts</t>
  </si>
  <si>
    <t>3×1 min. Rotate hips. Power from body not arm.</t>
  </si>
  <si>
    <t>Dead hang passive stretch</t>
  </si>
  <si>
    <t>close grip stretch back while hang, 2x30 sec</t>
  </si>
  <si>
    <t>Doorway lat stretch</t>
  </si>
  <si>
    <t>30 sec each side</t>
  </si>
  <si>
    <t>Bicep wall stretch</t>
  </si>
  <si>
    <t>Cat-cow spinal decompression</t>
  </si>
  <si>
    <t>Friday</t>
  </si>
  <si>
    <t>Pull B</t>
  </si>
  <si>
    <t>Resistance band pull-aparts</t>
  </si>
  <si>
    <t xml:space="preserve">3×15 reps
</t>
  </si>
  <si>
    <t>Cat-cow thoracic rotation</t>
  </si>
  <si>
    <t>2×10 reps</t>
  </si>
  <si>
    <t>Banded face pull</t>
  </si>
  <si>
    <t>2×12 reps</t>
  </si>
  <si>
    <t>Scapular pull-ups (just scaps)</t>
  </si>
  <si>
    <t>2x8 reps</t>
  </si>
  <si>
    <t>Wide-grip pull-ups</t>
  </si>
  <si>
    <t>Widest grip comfortable. Creates V-taper back.</t>
  </si>
  <si>
    <t>Cable/pulley seated row</t>
  </si>
  <si>
    <t>Neutral grip. Retract scapula. Mid-back thickness.</t>
  </si>
  <si>
    <t>Single-arm dumbbell row</t>
  </si>
  <si>
    <t>Knee on bench. Full ROM. Heavy is okay here.</t>
  </si>
  <si>
    <t>Dumbbell shrug</t>
  </si>
  <si>
    <t>Traps for that athletic look. Hold at top 1 sec.</t>
  </si>
  <si>
    <t>Resistance band pull-apart (supinated)</t>
  </si>
  <si>
    <t>Arm health, rear delt, external rotators.</t>
  </si>
  <si>
    <t>Incline dumbbell curl</t>
  </si>
  <si>
    <t>On bench 60°. Long head bicep. Peak builder.</t>
  </si>
  <si>
    <t>Concentration curl</t>
  </si>
  <si>
    <t>Elbow on inner thigh. Mind-muscle maximum.</t>
  </si>
  <si>
    <t>Dumbell Shoulder PullUps</t>
  </si>
  <si>
    <t>Pull dumbell till face height</t>
  </si>
  <si>
    <t>Lat stretch in doorway</t>
  </si>
  <si>
    <t>Child's pose with arm reach</t>
  </si>
  <si>
    <t>Supinator/pronator forearm stretch</t>
  </si>
  <si>
    <t>Neck side stretch</t>
  </si>
  <si>
    <t>20 sec each side</t>
  </si>
  <si>
    <t>Reverse Grip Dumbell curl</t>
  </si>
  <si>
    <t>45 sec each</t>
  </si>
  <si>
    <t>💪  Legs + Abs — Session Log</t>
  </si>
  <si>
    <t>Wednesday</t>
  </si>
  <si>
    <t>Legs + Abs A — Quads, Glutes, Core</t>
  </si>
  <si>
    <t>Hip circles + leg swings</t>
  </si>
  <si>
    <t xml:space="preserve">60 sec each direction
</t>
  </si>
  <si>
    <t>Bodyweight squat (slow)</t>
  </si>
  <si>
    <t xml:space="preserve">2×12 reps
</t>
  </si>
  <si>
    <t>Glute bridges</t>
  </si>
  <si>
    <t xml:space="preserve">2×15 reps
</t>
  </si>
  <si>
    <t>Band lateral walks</t>
  </si>
  <si>
    <t xml:space="preserve">2×15 steps
</t>
  </si>
  <si>
    <t>Dumbbell Goblet Squat</t>
  </si>
  <si>
    <t>Hold DB at chest. Full depth. Knees track toes.</t>
  </si>
  <si>
    <t>Dumbbell Romanian Deadlift</t>
  </si>
  <si>
    <t>Hinge at hips. Hamstring stretch. HUGE for glutes.</t>
  </si>
  <si>
    <t>Dumbbell Reverse Lunge</t>
  </si>
  <si>
    <t>Stepping back. Less knee stress than forward lunge.</t>
  </si>
  <si>
    <t>10 each</t>
  </si>
  <si>
    <t>Resistance Band Squat</t>
  </si>
  <si>
    <t>Band above knees. Activates glute med for width.</t>
  </si>
  <si>
    <t>Dumbbell Sumo Squat</t>
  </si>
  <si>
    <t>Wide stance. Inner quad and adductor focus.</t>
  </si>
  <si>
    <t>Ab Wheel Rollout</t>
  </si>
  <si>
    <t>Slow controlled. BEST core exercise you own.</t>
  </si>
  <si>
    <t>Hanging Knee Raises (Pull-up Bar)</t>
  </si>
  <si>
    <t>Don't swing. Lower slowly.</t>
  </si>
  <si>
    <t>Plank Variations</t>
  </si>
  <si>
    <t>Side plank alternating. Oblique definition.</t>
  </si>
  <si>
    <t>Standing quad stretch</t>
  </si>
  <si>
    <t xml:space="preserve">30 sec each
</t>
  </si>
  <si>
    <t>Pigeon pose (hip flexor)</t>
  </si>
  <si>
    <t xml:space="preserve">45 sec each side
</t>
  </si>
  <si>
    <t>Seated hamstring stretch</t>
  </si>
  <si>
    <t xml:space="preserve">45 sec each
</t>
  </si>
  <si>
    <t>Glute figure-4 stretch</t>
  </si>
  <si>
    <t>30 sec</t>
  </si>
  <si>
    <t>Saturday</t>
  </si>
  <si>
    <t>Legs + Abs B — Posterior Chain, Calves, Obliques</t>
  </si>
  <si>
    <t>Resistance Band Walk (Lateral + Fwd)</t>
  </si>
  <si>
    <t>2×15 steps each</t>
  </si>
  <si>
    <t>Hip Thrust Hold (Bodyweight)</t>
  </si>
  <si>
    <t>2×10 reps, 2 sec hold</t>
  </si>
  <si>
    <t>Inchworm Walk-outs</t>
  </si>
  <si>
    <t>2×8 reps</t>
  </si>
  <si>
    <t>Ankle Circles + Calf Raises</t>
  </si>
  <si>
    <t>20 reps each</t>
  </si>
  <si>
    <t>Dumbbell Stiff-Leg Deadlift</t>
  </si>
  <si>
    <t>Hamstring dominant. Slower than RDL. Feel the stretch.</t>
  </si>
  <si>
    <t>Dumbbell Hip Thrust (Bench)</t>
  </si>
  <si>
    <t>Upper back on bench, DB on hips. Glute max.</t>
  </si>
  <si>
    <t>Bulgarian Split Squat (DB)</t>
  </si>
  <si>
    <t>Hardest leg exercise you'll do. Quads + glutes.</t>
  </si>
  <si>
    <t>11 each</t>
  </si>
  <si>
    <t>Resistance Band Glute Kickback</t>
  </si>
  <si>
    <t>On all fours. Band around ankle. Glute activation.</t>
  </si>
  <si>
    <t>Dumbbell Calf Raise (Standing)</t>
  </si>
  <si>
    <t>Slow negative 3 sec. Full ROM. Calves need volume.</t>
  </si>
  <si>
    <t>Ab Wheel Rollout (Advanced)</t>
  </si>
  <si>
    <t>Phase 2: feet elevated. Phase 3: single-arm attempt.</t>
  </si>
  <si>
    <t>Decline Sit-up / Russian Twist</t>
  </si>
  <si>
    <t>Use bench decline. Add DB for resistance.</t>
  </si>
  <si>
    <t>Leg Raise (Hanging or Floor)</t>
  </si>
  <si>
    <t>Lower abs. Slow, controlled descent.</t>
  </si>
  <si>
    <t>90-90 Hip Stretch</t>
  </si>
  <si>
    <t>Lying Hamstring Stretch (Band)</t>
  </si>
  <si>
    <t>Calf Doorway Stretch</t>
  </si>
  <si>
    <t>30 sec each (bent + straight knee)</t>
  </si>
  <si>
    <t>31 sec</t>
  </si>
  <si>
    <t>Supine Spinal Twist</t>
  </si>
  <si>
    <t>30/03/2026</t>
  </si>
  <si>
    <t>A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</si>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</sst>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6" x14ac:knownFonts="1">
    <font>
      <sz val="11"/>
      <color theme="1"/>
      <name val="Calibri"/>
      <scheme val="minor"/>
    </font>
    <font>
      <b/>
      <sz val="18"/>
      <color rgb="FFFFFFFF"/>
      <name val="Arial"/>
    </font>
    <font>
      <sz val="11"/>
      <name val="Calibri"/>
    </font>
    <font>
      <i/>
      <sz val="10"/>
      <color rgb="FFD85A30"/>
      <name val="Arial"/>
    </font>
    <font>
      <b/>
      <sz val="9"/>
      <color rgb="FF1D9E75"/>
      <name val="Arial"/>
    </font>
    <font>
      <b/>
      <sz val="10"/>
      <color rgb="FF1A1A2E"/>
      <name val="Arial"/>
    </font>
    <font>
      <b/>
      <sz val="11"/>
      <color rgb="FFFFFFFF"/>
      <name val="Arial"/>
    </font>
    <font>
      <sz val="11"/>
      <color theme="1"/>
      <name val="Calibri"/>
      <scheme val="minor"/>
    </font>
    <font>
      <b/>
      <sz val="10"/>
      <color rgb="FFD85A30"/>
      <name val="Arial"/>
    </font>
    <font>
      <sz val="11"/>
      <color theme="1"/>
      <name val="Calibri"/>
    </font>
    <font>
      <b/>
      <sz val="10"/>
      <color rgb="FFFFFFFF"/>
      <name val="Arial"/>
    </font>
    <font>
      <i/>
      <sz val="9"/>
      <color rgb="FF888780"/>
      <name val="Arial"/>
    </font>
    <font>
      <sz val="10"/>
      <color rgb="FFBA7517"/>
      <name val="Arial"/>
    </font>
    <font>
      <i/>
      <sz val="10"/>
      <color rgb="FF1D9E75"/>
      <name val="Arial"/>
    </font>
    <font>
      <b/>
      <sz val="10"/>
      <color rgb="FF1D9E75"/>
      <name val="Arial"/>
    </font>
    <font>
      <b/>
      <sz val="10"/>
      <color rgb="FF534AB7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5F4F0"/>
        <bgColor rgb="FFF5F4F0"/>
      </patternFill>
    </fill>
    <fill>
      <patternFill patternType="solid">
        <fgColor rgb="FFFFFFFF"/>
        <bgColor rgb="FFFFFFFF"/>
      </patternFill>
    </fill>
    <fill>
      <patternFill patternType="solid">
        <fgColor rgb="FFFAD7CC"/>
        <bgColor rgb="FFFAD7CC"/>
      </patternFill>
    </fill>
    <fill>
      <patternFill patternType="solid">
        <fgColor rgb="FFC8F0E4"/>
        <bgColor rgb="FFC8F0E4"/>
      </patternFill>
    </fill>
    <fill>
      <patternFill patternType="solid">
        <fgColor rgb="FFDDDCF7"/>
        <bgColor rgb="FFDDDCF7"/>
      </patternFill>
    </fill>
    <fill>
      <patternFill patternType="solid">
        <fgColor rgb="FFFAEEDA"/>
        <bgColor rgb="FFFAEEDA"/>
      </patternFill>
    </fill>
    <fill>
      <patternFill patternType="solid">
        <fgColor rgb="FFD85A30"/>
        <bgColor rgb="FFD85A30"/>
      </patternFill>
    </fill>
    <fill>
      <patternFill patternType="solid">
        <fgColor rgb="FF1D9E75"/>
        <bgColor rgb="FF1D9E75"/>
      </patternFill>
    </fill>
    <fill>
      <patternFill patternType="solid">
        <fgColor rgb="FF534AB7"/>
        <bgColor rgb="FF534AB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88780"/>
      </left>
      <right style="thin">
        <color rgb="FF888780"/>
      </right>
      <top style="thin">
        <color rgb="FF888780"/>
      </top>
      <bottom style="thin">
        <color rgb="FF888780"/>
      </bottom>
      <diagonal/>
    </border>
    <border>
      <left style="thin">
        <color rgb="FFF0997B"/>
      </left>
      <right style="thin">
        <color rgb="FFF0997B"/>
      </right>
      <top style="thin">
        <color rgb="FFF0997B"/>
      </top>
      <bottom style="thin">
        <color rgb="FFF0997B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/>
      <right/>
      <top/>
      <bottom/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5DCAA5"/>
      </left>
      <right style="thin">
        <color rgb="FF5DCAA5"/>
      </right>
      <top style="thin">
        <color rgb="FF5DCAA5"/>
      </top>
      <bottom style="thin">
        <color rgb="FF5DCAA5"/>
      </bottom>
      <diagonal/>
    </border>
    <border>
      <left style="thin">
        <color rgb="FFAFA9EC"/>
      </left>
      <right style="thin">
        <color rgb="FFAFA9EC"/>
      </right>
      <top style="thin">
        <color rgb="FFAFA9EC"/>
      </top>
      <bottom style="thin">
        <color rgb="FFAFA9E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7" fillId="0" borderId="0" xfId="0" applyFont="1" applyAlignment="1">
      <alignment wrapText="1"/>
    </xf>
    <xf numFmtId="165" fontId="9" fillId="4" borderId="6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right" vertical="center" wrapText="1"/>
    </xf>
    <xf numFmtId="0" fontId="9" fillId="4" borderId="5" xfId="0" applyFont="1" applyFill="1" applyBorder="1" applyAlignment="1">
      <alignment wrapText="1"/>
    </xf>
    <xf numFmtId="0" fontId="5" fillId="5" borderId="8" xfId="0" applyFont="1" applyFill="1" applyBorder="1" applyAlignment="1">
      <alignment horizontal="right" vertical="center"/>
    </xf>
    <xf numFmtId="0" fontId="9" fillId="4" borderId="5" xfId="0" applyFont="1" applyFill="1" applyBorder="1"/>
    <xf numFmtId="0" fontId="8" fillId="4" borderId="0" xfId="0" applyFont="1" applyFill="1" applyAlignment="1">
      <alignment horizontal="left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165" fontId="4" fillId="6" borderId="7" xfId="0" applyNumberFormat="1" applyFont="1" applyFill="1" applyBorder="1" applyAlignment="1">
      <alignment horizontal="center" vertical="center"/>
    </xf>
    <xf numFmtId="165" fontId="6" fillId="9" borderId="5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right" vertical="center" wrapText="1"/>
    </xf>
    <xf numFmtId="0" fontId="9" fillId="4" borderId="10" xfId="0" applyFont="1" applyFill="1" applyBorder="1" applyAlignment="1">
      <alignment wrapText="1"/>
    </xf>
    <xf numFmtId="0" fontId="5" fillId="6" borderId="8" xfId="0" applyFont="1" applyFill="1" applyBorder="1" applyAlignment="1">
      <alignment horizontal="right" vertical="center"/>
    </xf>
    <xf numFmtId="0" fontId="9" fillId="4" borderId="10" xfId="0" applyFont="1" applyFill="1" applyBorder="1"/>
    <xf numFmtId="0" fontId="6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165" fontId="6" fillId="10" borderId="10" xfId="0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right" vertical="center" wrapText="1"/>
    </xf>
    <xf numFmtId="0" fontId="9" fillId="4" borderId="11" xfId="0" applyFont="1" applyFill="1" applyBorder="1" applyAlignment="1">
      <alignment wrapText="1"/>
    </xf>
    <xf numFmtId="0" fontId="5" fillId="7" borderId="8" xfId="0" applyFont="1" applyFill="1" applyBorder="1" applyAlignment="1">
      <alignment horizontal="right" vertical="center"/>
    </xf>
    <xf numFmtId="0" fontId="9" fillId="4" borderId="11" xfId="0" applyFont="1" applyFill="1" applyBorder="1"/>
    <xf numFmtId="0" fontId="6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 wrapText="1"/>
    </xf>
    <xf numFmtId="165" fontId="6" fillId="11" borderId="11" xfId="0" applyNumberFormat="1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left" vertical="center" wrapText="1"/>
    </xf>
    <xf numFmtId="0" fontId="11" fillId="7" borderId="6" xfId="0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wrapText="1"/>
    </xf>
    <xf numFmtId="0" fontId="2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13" fillId="6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14" fontId="9" fillId="4" borderId="1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85A30"/>
  </sheetPr>
  <dimension ref="A1:T192"/>
  <sheetViews>
    <sheetView showGridLines="0" tabSelected="1" topLeftCell="A45" workbookViewId="0">
      <selection activeCell="E51" sqref="E51"/>
    </sheetView>
  </sheetViews>
  <sheetFormatPr defaultColWidth="14.42578125" defaultRowHeight="15" customHeight="1" x14ac:dyDescent="0.25"/>
  <cols>
    <col min="1" max="1" width="32.42578125" customWidth="1"/>
    <col min="2" max="2" width="26" customWidth="1"/>
    <col min="3" max="3" width="13.7109375" customWidth="1"/>
    <col min="4" max="4" width="10.28515625" customWidth="1"/>
    <col min="5" max="5" width="15.140625" customWidth="1"/>
    <col min="6" max="6" width="10" customWidth="1"/>
    <col min="7" max="7" width="14.140625" customWidth="1"/>
    <col min="8" max="8" width="9" customWidth="1"/>
    <col min="9" max="9" width="18.140625" customWidth="1"/>
    <col min="10" max="10" width="8.7109375" customWidth="1"/>
    <col min="11" max="11" width="19.140625" customWidth="1"/>
    <col min="12" max="12" width="10" customWidth="1"/>
    <col min="13" max="13" width="15.28515625" customWidth="1"/>
    <col min="14" max="14" width="9" customWidth="1"/>
    <col min="15" max="15" width="19.7109375" customWidth="1"/>
    <col min="16" max="16" width="7" customWidth="1"/>
    <col min="17" max="17" width="9" customWidth="1"/>
    <col min="18" max="18" width="11" customWidth="1"/>
    <col min="19" max="20" width="9" customWidth="1"/>
    <col min="21" max="26" width="8.7109375" customWidth="1"/>
  </cols>
  <sheetData>
    <row r="1" spans="1:20" ht="36" customHeight="1" x14ac:dyDescent="0.25">
      <c r="A1" s="44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0"/>
    </row>
    <row r="2" spans="1:20" ht="19.5" customHeight="1" x14ac:dyDescent="0.25">
      <c r="A2" s="43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</row>
    <row r="3" spans="1:20" ht="21.75" customHeight="1" x14ac:dyDescent="0.25">
      <c r="A3" s="3" t="s">
        <v>2</v>
      </c>
      <c r="B3" s="4" t="s">
        <v>238</v>
      </c>
      <c r="C3" s="5" t="s">
        <v>3</v>
      </c>
      <c r="D3" s="6">
        <v>1</v>
      </c>
      <c r="E3" s="5" t="s">
        <v>4</v>
      </c>
      <c r="F3" s="6">
        <v>1</v>
      </c>
      <c r="G3" s="5" t="s">
        <v>5</v>
      </c>
      <c r="H3" s="6" t="s">
        <v>239</v>
      </c>
      <c r="I3" s="5" t="s">
        <v>6</v>
      </c>
      <c r="J3" s="6">
        <v>1</v>
      </c>
      <c r="K3" s="5" t="s">
        <v>7</v>
      </c>
      <c r="L3" s="6"/>
      <c r="M3" s="5" t="s">
        <v>8</v>
      </c>
      <c r="N3" s="6"/>
      <c r="O3" s="5" t="s">
        <v>9</v>
      </c>
      <c r="P3" s="6"/>
    </row>
    <row r="4" spans="1:20" ht="36" customHeight="1" x14ac:dyDescent="0.25">
      <c r="A4" s="7" t="s">
        <v>10</v>
      </c>
      <c r="B4" s="8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9" t="s">
        <v>22</v>
      </c>
      <c r="N4" s="9" t="s">
        <v>23</v>
      </c>
      <c r="O4" s="9" t="s">
        <v>24</v>
      </c>
      <c r="P4" s="9" t="s">
        <v>25</v>
      </c>
      <c r="Q4" s="9" t="s">
        <v>26</v>
      </c>
      <c r="R4" s="9" t="s">
        <v>27</v>
      </c>
      <c r="S4" s="9" t="s">
        <v>28</v>
      </c>
      <c r="T4" s="9" t="s">
        <v>29</v>
      </c>
    </row>
    <row r="5" spans="1:20" ht="21.75" customHeight="1" x14ac:dyDescent="0.25">
      <c r="A5" s="10" t="s">
        <v>30</v>
      </c>
      <c r="B5" s="11" t="s">
        <v>31</v>
      </c>
      <c r="C5" s="2"/>
      <c r="D5" s="2"/>
      <c r="E5" s="12" t="str">
        <f t="shared" ref="E5:E20" si="0">IF(AND(ISNUMBER(C5),ISNUMBER(D5)),ROUND(C5*(1+D5/30),1),"—")</f>
        <v>—</v>
      </c>
      <c r="F5" s="2"/>
      <c r="G5" s="2"/>
      <c r="H5" s="12" t="str">
        <f t="shared" ref="H5:H20" si="1">IF(AND(ISNUMBER(F5),ISNUMBER(G5)),ROUND(F5*(1+G5/30),1),"—")</f>
        <v>—</v>
      </c>
      <c r="I5" s="2"/>
      <c r="J5" s="2"/>
      <c r="K5" s="12" t="str">
        <f t="shared" ref="K5:K20" si="2">IF(AND(ISNUMBER(I5),ISNUMBER(J5)),ROUND(I5*(1+J5/30),1),"—")</f>
        <v>—</v>
      </c>
      <c r="L5" s="2"/>
      <c r="M5" s="2"/>
      <c r="N5" s="12" t="str">
        <f t="shared" ref="N5:N20" si="3">IF(AND(ISNUMBER(L5),ISNUMBER(M5)),ROUND(L5*(1+M5/30),1),"—")</f>
        <v>—</v>
      </c>
      <c r="O5" s="2"/>
      <c r="P5" s="2"/>
      <c r="Q5" s="12" t="str">
        <f t="shared" ref="Q5:Q20" si="4">IF(AND(ISNUMBER(O5),ISNUMBER(P5)),ROUND(O5*(1+P5/30),1),"—")</f>
        <v>—</v>
      </c>
      <c r="R5" s="13">
        <f t="shared" ref="R5:R20" si="5">IFERROR(MAX(IFERROR(VALUE(E5),0),IFERROR(VALUE(H5),0),IFERROR(VALUE(K5),0),IFERROR(VALUE(N5),0),IFERROR(VALUE(Q5),0)),"—")</f>
        <v>0</v>
      </c>
      <c r="S5" s="14"/>
      <c r="T5" s="14"/>
    </row>
    <row r="6" spans="1:20" ht="21.75" customHeight="1" x14ac:dyDescent="0.25">
      <c r="A6" s="15" t="s">
        <v>32</v>
      </c>
      <c r="B6" s="16" t="s">
        <v>33</v>
      </c>
      <c r="C6" s="2"/>
      <c r="D6" s="2"/>
      <c r="E6" s="12" t="str">
        <f t="shared" si="0"/>
        <v>—</v>
      </c>
      <c r="F6" s="2"/>
      <c r="G6" s="2"/>
      <c r="H6" s="12" t="str">
        <f t="shared" si="1"/>
        <v>—</v>
      </c>
      <c r="I6" s="2"/>
      <c r="J6" s="2"/>
      <c r="K6" s="12" t="str">
        <f t="shared" si="2"/>
        <v>—</v>
      </c>
      <c r="L6" s="2"/>
      <c r="M6" s="2"/>
      <c r="N6" s="12" t="str">
        <f t="shared" si="3"/>
        <v>—</v>
      </c>
      <c r="O6" s="2"/>
      <c r="P6" s="2"/>
      <c r="Q6" s="12" t="str">
        <f t="shared" si="4"/>
        <v>—</v>
      </c>
      <c r="R6" s="13">
        <f t="shared" si="5"/>
        <v>0</v>
      </c>
      <c r="S6" s="14"/>
      <c r="T6" s="14"/>
    </row>
    <row r="7" spans="1:20" ht="21.75" customHeight="1" x14ac:dyDescent="0.25">
      <c r="A7" s="10" t="s">
        <v>34</v>
      </c>
      <c r="B7" s="11" t="s">
        <v>35</v>
      </c>
      <c r="C7" s="2"/>
      <c r="D7" s="2"/>
      <c r="E7" s="12" t="str">
        <f t="shared" si="0"/>
        <v>—</v>
      </c>
      <c r="F7" s="2"/>
      <c r="G7" s="2"/>
      <c r="H7" s="12" t="str">
        <f t="shared" si="1"/>
        <v>—</v>
      </c>
      <c r="I7" s="2"/>
      <c r="J7" s="2"/>
      <c r="K7" s="12" t="str">
        <f t="shared" si="2"/>
        <v>—</v>
      </c>
      <c r="L7" s="2"/>
      <c r="M7" s="2"/>
      <c r="N7" s="12" t="str">
        <f t="shared" si="3"/>
        <v>—</v>
      </c>
      <c r="O7" s="2"/>
      <c r="P7" s="2"/>
      <c r="Q7" s="12" t="str">
        <f t="shared" si="4"/>
        <v>—</v>
      </c>
      <c r="R7" s="13">
        <f t="shared" si="5"/>
        <v>0</v>
      </c>
      <c r="S7" s="14"/>
      <c r="T7" s="14"/>
    </row>
    <row r="8" spans="1:20" ht="21.75" customHeight="1" x14ac:dyDescent="0.25">
      <c r="A8" s="15" t="s">
        <v>36</v>
      </c>
      <c r="B8" s="16" t="s">
        <v>37</v>
      </c>
      <c r="C8" s="2">
        <v>2.5</v>
      </c>
      <c r="D8" s="2">
        <v>16</v>
      </c>
      <c r="E8" s="12">
        <f t="shared" si="0"/>
        <v>3.8</v>
      </c>
      <c r="F8" s="2"/>
      <c r="G8" s="2"/>
      <c r="H8" s="12" t="str">
        <f t="shared" si="1"/>
        <v>—</v>
      </c>
      <c r="I8" s="2"/>
      <c r="J8" s="2"/>
      <c r="K8" s="12" t="str">
        <f t="shared" si="2"/>
        <v>—</v>
      </c>
      <c r="L8" s="2"/>
      <c r="M8" s="2"/>
      <c r="N8" s="12" t="str">
        <f t="shared" si="3"/>
        <v>—</v>
      </c>
      <c r="O8" s="2"/>
      <c r="P8" s="2"/>
      <c r="Q8" s="12" t="str">
        <f t="shared" si="4"/>
        <v>—</v>
      </c>
      <c r="R8" s="13">
        <f t="shared" si="5"/>
        <v>3.8</v>
      </c>
      <c r="S8" s="14"/>
      <c r="T8" s="14"/>
    </row>
    <row r="9" spans="1:20" ht="21.75" customHeight="1" x14ac:dyDescent="0.25">
      <c r="A9" s="10" t="s">
        <v>38</v>
      </c>
      <c r="B9" s="11" t="s">
        <v>39</v>
      </c>
      <c r="C9" s="2">
        <v>7.5</v>
      </c>
      <c r="D9" s="2">
        <v>15</v>
      </c>
      <c r="E9" s="12">
        <f t="shared" si="0"/>
        <v>11.3</v>
      </c>
      <c r="F9" s="2">
        <v>7.5</v>
      </c>
      <c r="G9" s="2">
        <v>16</v>
      </c>
      <c r="H9" s="12">
        <f t="shared" si="1"/>
        <v>11.5</v>
      </c>
      <c r="I9" s="2">
        <v>7.5</v>
      </c>
      <c r="J9" s="2">
        <v>20</v>
      </c>
      <c r="K9" s="12">
        <f t="shared" si="2"/>
        <v>12.5</v>
      </c>
      <c r="L9" s="2"/>
      <c r="M9" s="2"/>
      <c r="N9" s="12" t="str">
        <f t="shared" si="3"/>
        <v>—</v>
      </c>
      <c r="O9" s="2"/>
      <c r="P9" s="2"/>
      <c r="Q9" s="12" t="str">
        <f t="shared" si="4"/>
        <v>—</v>
      </c>
      <c r="R9" s="13">
        <f t="shared" si="5"/>
        <v>12.5</v>
      </c>
      <c r="S9" s="14" t="s">
        <v>40</v>
      </c>
      <c r="T9" s="14" t="s">
        <v>41</v>
      </c>
    </row>
    <row r="10" spans="1:20" ht="21.75" customHeight="1" x14ac:dyDescent="0.25">
      <c r="A10" s="15" t="s">
        <v>42</v>
      </c>
      <c r="B10" s="16" t="s">
        <v>43</v>
      </c>
      <c r="C10" s="2">
        <v>7.5</v>
      </c>
      <c r="D10" s="2">
        <v>20</v>
      </c>
      <c r="E10" s="12">
        <f t="shared" si="0"/>
        <v>12.5</v>
      </c>
      <c r="F10" s="2">
        <v>7.5</v>
      </c>
      <c r="G10" s="2">
        <v>20</v>
      </c>
      <c r="H10" s="12">
        <f t="shared" si="1"/>
        <v>12.5</v>
      </c>
      <c r="I10" s="2">
        <v>7.5</v>
      </c>
      <c r="J10" s="2">
        <v>15</v>
      </c>
      <c r="K10" s="12">
        <f t="shared" si="2"/>
        <v>11.3</v>
      </c>
      <c r="L10" s="2"/>
      <c r="M10" s="2"/>
      <c r="N10" s="12" t="str">
        <f t="shared" si="3"/>
        <v>—</v>
      </c>
      <c r="O10" s="2"/>
      <c r="P10" s="2"/>
      <c r="Q10" s="12" t="str">
        <f t="shared" si="4"/>
        <v>—</v>
      </c>
      <c r="R10" s="13">
        <f t="shared" si="5"/>
        <v>12.5</v>
      </c>
      <c r="S10" s="14" t="s">
        <v>40</v>
      </c>
      <c r="T10" s="14" t="s">
        <v>44</v>
      </c>
    </row>
    <row r="11" spans="1:20" ht="21.75" customHeight="1" x14ac:dyDescent="0.25">
      <c r="A11" s="10" t="s">
        <v>45</v>
      </c>
      <c r="B11" s="11" t="s">
        <v>46</v>
      </c>
      <c r="C11" s="2">
        <v>5</v>
      </c>
      <c r="D11" s="2">
        <v>15</v>
      </c>
      <c r="E11" s="12">
        <f t="shared" si="0"/>
        <v>7.5</v>
      </c>
      <c r="F11" s="2">
        <v>7.5</v>
      </c>
      <c r="G11" s="2">
        <v>10</v>
      </c>
      <c r="H11" s="12">
        <f t="shared" si="1"/>
        <v>10</v>
      </c>
      <c r="I11" s="2">
        <v>7.5</v>
      </c>
      <c r="J11" s="2">
        <v>10</v>
      </c>
      <c r="K11" s="12">
        <f t="shared" si="2"/>
        <v>10</v>
      </c>
      <c r="L11" s="2"/>
      <c r="M11" s="2"/>
      <c r="N11" s="12" t="str">
        <f t="shared" si="3"/>
        <v>—</v>
      </c>
      <c r="O11" s="2"/>
      <c r="P11" s="2"/>
      <c r="Q11" s="12" t="str">
        <f t="shared" si="4"/>
        <v>—</v>
      </c>
      <c r="R11" s="13">
        <f t="shared" si="5"/>
        <v>10</v>
      </c>
      <c r="S11" s="14" t="s">
        <v>40</v>
      </c>
      <c r="T11" s="14" t="s">
        <v>41</v>
      </c>
    </row>
    <row r="12" spans="1:20" ht="21.75" customHeight="1" x14ac:dyDescent="0.25">
      <c r="A12" s="15" t="s">
        <v>47</v>
      </c>
      <c r="B12" s="16" t="s">
        <v>48</v>
      </c>
      <c r="C12" s="2">
        <v>7.5</v>
      </c>
      <c r="D12" s="2">
        <v>10</v>
      </c>
      <c r="E12" s="12">
        <f t="shared" si="0"/>
        <v>10</v>
      </c>
      <c r="F12" s="2">
        <v>10</v>
      </c>
      <c r="G12" s="2">
        <v>10</v>
      </c>
      <c r="H12" s="12">
        <f t="shared" si="1"/>
        <v>13.3</v>
      </c>
      <c r="I12" s="2">
        <v>15</v>
      </c>
      <c r="J12" s="2">
        <v>7</v>
      </c>
      <c r="K12" s="12">
        <f t="shared" si="2"/>
        <v>18.5</v>
      </c>
      <c r="L12" s="2"/>
      <c r="M12" s="2"/>
      <c r="N12" s="12" t="str">
        <f t="shared" si="3"/>
        <v>—</v>
      </c>
      <c r="O12" s="2"/>
      <c r="P12" s="2"/>
      <c r="Q12" s="12" t="str">
        <f t="shared" si="4"/>
        <v>—</v>
      </c>
      <c r="R12" s="13">
        <f t="shared" si="5"/>
        <v>18.5</v>
      </c>
      <c r="S12" s="14" t="s">
        <v>40</v>
      </c>
      <c r="T12" s="14" t="s">
        <v>41</v>
      </c>
    </row>
    <row r="13" spans="1:20" ht="21.75" customHeight="1" x14ac:dyDescent="0.25">
      <c r="A13" s="10" t="s">
        <v>49</v>
      </c>
      <c r="B13" s="11" t="s">
        <v>50</v>
      </c>
      <c r="C13" s="2">
        <v>15</v>
      </c>
      <c r="D13" s="2">
        <v>10</v>
      </c>
      <c r="E13" s="12">
        <f t="shared" si="0"/>
        <v>20</v>
      </c>
      <c r="F13" s="2">
        <v>15</v>
      </c>
      <c r="G13" s="2">
        <v>13</v>
      </c>
      <c r="H13" s="12">
        <f t="shared" si="1"/>
        <v>21.5</v>
      </c>
      <c r="I13" s="2">
        <v>15</v>
      </c>
      <c r="J13" s="2">
        <v>17</v>
      </c>
      <c r="K13" s="12">
        <f t="shared" si="2"/>
        <v>23.5</v>
      </c>
      <c r="L13" s="2"/>
      <c r="M13" s="2"/>
      <c r="N13" s="12" t="str">
        <f t="shared" si="3"/>
        <v>—</v>
      </c>
      <c r="O13" s="2"/>
      <c r="P13" s="2"/>
      <c r="Q13" s="12" t="str">
        <f t="shared" si="4"/>
        <v>—</v>
      </c>
      <c r="R13" s="13">
        <f t="shared" si="5"/>
        <v>23.5</v>
      </c>
      <c r="S13" s="14" t="s">
        <v>40</v>
      </c>
      <c r="T13" s="14" t="s">
        <v>44</v>
      </c>
    </row>
    <row r="14" spans="1:20" ht="21.75" customHeight="1" x14ac:dyDescent="0.25">
      <c r="A14" s="15" t="s">
        <v>51</v>
      </c>
      <c r="B14" s="16" t="s">
        <v>52</v>
      </c>
      <c r="C14" s="2">
        <v>15</v>
      </c>
      <c r="D14" s="2">
        <v>12</v>
      </c>
      <c r="E14" s="12">
        <f t="shared" si="0"/>
        <v>21</v>
      </c>
      <c r="F14" s="2">
        <v>15</v>
      </c>
      <c r="G14" s="2">
        <v>9</v>
      </c>
      <c r="H14" s="12">
        <f t="shared" si="1"/>
        <v>19.5</v>
      </c>
      <c r="I14" s="2">
        <v>15</v>
      </c>
      <c r="J14" s="2">
        <v>6</v>
      </c>
      <c r="K14" s="12">
        <f t="shared" si="2"/>
        <v>18</v>
      </c>
      <c r="L14" s="2"/>
      <c r="M14" s="2"/>
      <c r="N14" s="12" t="str">
        <f t="shared" si="3"/>
        <v>—</v>
      </c>
      <c r="O14" s="2"/>
      <c r="P14" s="2"/>
      <c r="Q14" s="12" t="str">
        <f t="shared" si="4"/>
        <v>—</v>
      </c>
      <c r="R14" s="13">
        <f t="shared" si="5"/>
        <v>21</v>
      </c>
      <c r="S14" s="14" t="s">
        <v>40</v>
      </c>
      <c r="T14" s="14" t="s">
        <v>44</v>
      </c>
    </row>
    <row r="15" spans="1:20" ht="21.75" customHeight="1" x14ac:dyDescent="0.25">
      <c r="A15" s="10" t="s">
        <v>53</v>
      </c>
      <c r="B15" s="11" t="s">
        <v>54</v>
      </c>
      <c r="C15" s="2">
        <v>7.5</v>
      </c>
      <c r="D15" s="2">
        <v>14</v>
      </c>
      <c r="E15" s="12">
        <f t="shared" si="0"/>
        <v>11</v>
      </c>
      <c r="F15" s="2">
        <v>7.5</v>
      </c>
      <c r="G15" s="2">
        <v>11</v>
      </c>
      <c r="H15" s="12">
        <f t="shared" si="1"/>
        <v>10.3</v>
      </c>
      <c r="I15" s="2">
        <v>7.5</v>
      </c>
      <c r="J15" s="2">
        <v>11</v>
      </c>
      <c r="K15" s="12">
        <f t="shared" si="2"/>
        <v>10.3</v>
      </c>
      <c r="L15" s="2"/>
      <c r="M15" s="2"/>
      <c r="N15" s="12" t="str">
        <f t="shared" si="3"/>
        <v>—</v>
      </c>
      <c r="O15" s="2"/>
      <c r="P15" s="2"/>
      <c r="Q15" s="12" t="str">
        <f t="shared" si="4"/>
        <v>—</v>
      </c>
      <c r="R15" s="13">
        <f t="shared" si="5"/>
        <v>11</v>
      </c>
      <c r="S15" s="14" t="s">
        <v>55</v>
      </c>
      <c r="T15" s="14" t="s">
        <v>44</v>
      </c>
    </row>
    <row r="16" spans="1:20" ht="21.75" customHeight="1" x14ac:dyDescent="0.25">
      <c r="A16" s="15" t="s">
        <v>56</v>
      </c>
      <c r="B16" s="16" t="s">
        <v>57</v>
      </c>
      <c r="C16" s="2"/>
      <c r="D16" s="2"/>
      <c r="E16" s="12" t="str">
        <f t="shared" si="0"/>
        <v>—</v>
      </c>
      <c r="F16" s="2"/>
      <c r="G16" s="2"/>
      <c r="H16" s="12" t="str">
        <f t="shared" si="1"/>
        <v>—</v>
      </c>
      <c r="I16" s="2"/>
      <c r="J16" s="2"/>
      <c r="K16" s="12" t="str">
        <f t="shared" si="2"/>
        <v>—</v>
      </c>
      <c r="L16" s="2"/>
      <c r="M16" s="2"/>
      <c r="N16" s="12" t="str">
        <f t="shared" si="3"/>
        <v>—</v>
      </c>
      <c r="O16" s="2"/>
      <c r="P16" s="2"/>
      <c r="Q16" s="12" t="str">
        <f t="shared" si="4"/>
        <v>—</v>
      </c>
      <c r="R16" s="13">
        <f t="shared" si="5"/>
        <v>0</v>
      </c>
      <c r="S16" s="14"/>
      <c r="T16" s="14"/>
    </row>
    <row r="17" spans="1:20" ht="21.75" customHeight="1" x14ac:dyDescent="0.25">
      <c r="A17" s="10" t="s">
        <v>58</v>
      </c>
      <c r="B17" s="11"/>
      <c r="C17" s="2"/>
      <c r="D17" s="2"/>
      <c r="E17" s="12" t="str">
        <f t="shared" si="0"/>
        <v>—</v>
      </c>
      <c r="F17" s="2"/>
      <c r="G17" s="2"/>
      <c r="H17" s="12" t="str">
        <f t="shared" si="1"/>
        <v>—</v>
      </c>
      <c r="I17" s="2"/>
      <c r="J17" s="2"/>
      <c r="K17" s="12" t="str">
        <f t="shared" si="2"/>
        <v>—</v>
      </c>
      <c r="L17" s="2"/>
      <c r="M17" s="2"/>
      <c r="N17" s="12" t="str">
        <f t="shared" si="3"/>
        <v>—</v>
      </c>
      <c r="O17" s="2"/>
      <c r="P17" s="2"/>
      <c r="Q17" s="12" t="str">
        <f t="shared" si="4"/>
        <v>—</v>
      </c>
      <c r="R17" s="13">
        <f t="shared" si="5"/>
        <v>0</v>
      </c>
      <c r="S17" s="14"/>
      <c r="T17" s="14"/>
    </row>
    <row r="18" spans="1:20" ht="21.75" customHeight="1" x14ac:dyDescent="0.25">
      <c r="A18" s="15" t="s">
        <v>59</v>
      </c>
      <c r="B18" s="16"/>
      <c r="C18" s="2"/>
      <c r="D18" s="2"/>
      <c r="E18" s="12" t="str">
        <f t="shared" si="0"/>
        <v>—</v>
      </c>
      <c r="F18" s="2"/>
      <c r="G18" s="2"/>
      <c r="H18" s="12" t="str">
        <f t="shared" si="1"/>
        <v>—</v>
      </c>
      <c r="I18" s="2"/>
      <c r="J18" s="2"/>
      <c r="K18" s="12" t="str">
        <f t="shared" si="2"/>
        <v>—</v>
      </c>
      <c r="L18" s="2"/>
      <c r="M18" s="2"/>
      <c r="N18" s="12" t="str">
        <f t="shared" si="3"/>
        <v>—</v>
      </c>
      <c r="O18" s="2"/>
      <c r="P18" s="2"/>
      <c r="Q18" s="12" t="str">
        <f t="shared" si="4"/>
        <v>—</v>
      </c>
      <c r="R18" s="13">
        <f t="shared" si="5"/>
        <v>0</v>
      </c>
      <c r="S18" s="14"/>
      <c r="T18" s="14"/>
    </row>
    <row r="19" spans="1:20" ht="21.75" customHeight="1" x14ac:dyDescent="0.25">
      <c r="A19" s="10" t="s">
        <v>60</v>
      </c>
      <c r="B19" s="11"/>
      <c r="C19" s="2"/>
      <c r="D19" s="2"/>
      <c r="E19" s="12" t="str">
        <f t="shared" si="0"/>
        <v>—</v>
      </c>
      <c r="F19" s="2"/>
      <c r="G19" s="2"/>
      <c r="H19" s="12" t="str">
        <f t="shared" si="1"/>
        <v>—</v>
      </c>
      <c r="I19" s="2"/>
      <c r="J19" s="2"/>
      <c r="K19" s="12" t="str">
        <f t="shared" si="2"/>
        <v>—</v>
      </c>
      <c r="L19" s="2"/>
      <c r="M19" s="2"/>
      <c r="N19" s="12" t="str">
        <f t="shared" si="3"/>
        <v>—</v>
      </c>
      <c r="O19" s="2"/>
      <c r="P19" s="2"/>
      <c r="Q19" s="12" t="str">
        <f t="shared" si="4"/>
        <v>—</v>
      </c>
      <c r="R19" s="13">
        <f t="shared" si="5"/>
        <v>0</v>
      </c>
      <c r="S19" s="14"/>
      <c r="T19" s="14"/>
    </row>
    <row r="20" spans="1:20" ht="21.75" customHeight="1" x14ac:dyDescent="0.25">
      <c r="A20" s="15" t="s">
        <v>61</v>
      </c>
      <c r="B20" s="16"/>
      <c r="C20" s="2"/>
      <c r="D20" s="2"/>
      <c r="E20" s="12" t="str">
        <f t="shared" si="0"/>
        <v>—</v>
      </c>
      <c r="F20" s="2"/>
      <c r="G20" s="2"/>
      <c r="H20" s="12" t="str">
        <f t="shared" si="1"/>
        <v>—</v>
      </c>
      <c r="I20" s="2"/>
      <c r="J20" s="2"/>
      <c r="K20" s="12" t="str">
        <f t="shared" si="2"/>
        <v>—</v>
      </c>
      <c r="L20" s="2"/>
      <c r="M20" s="2"/>
      <c r="N20" s="12" t="str">
        <f t="shared" si="3"/>
        <v>—</v>
      </c>
      <c r="O20" s="2"/>
      <c r="P20" s="2"/>
      <c r="Q20" s="12" t="str">
        <f t="shared" si="4"/>
        <v>—</v>
      </c>
      <c r="R20" s="13">
        <f t="shared" si="5"/>
        <v>0</v>
      </c>
      <c r="S20" s="14" t="s">
        <v>40</v>
      </c>
      <c r="T20" s="14" t="s">
        <v>62</v>
      </c>
    </row>
    <row r="21" spans="1:20" ht="19.5" customHeight="1" x14ac:dyDescent="0.25">
      <c r="A21" s="42" t="s">
        <v>63</v>
      </c>
      <c r="B21" s="40"/>
    </row>
    <row r="22" spans="1:20" ht="18" customHeight="1" x14ac:dyDescent="0.25">
      <c r="A22" s="41" t="s">
        <v>64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40"/>
    </row>
    <row r="23" spans="1:20" ht="18" customHeight="1" x14ac:dyDescent="0.25">
      <c r="A23" s="44" t="s">
        <v>104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</row>
    <row r="24" spans="1:20" ht="15.75" customHeight="1" x14ac:dyDescent="0.25">
      <c r="A24" s="43" t="s">
        <v>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</row>
    <row r="25" spans="1:20" ht="15.75" customHeight="1" x14ac:dyDescent="0.25">
      <c r="A25" s="17" t="s">
        <v>2</v>
      </c>
      <c r="B25" s="18" t="s">
        <v>240</v>
      </c>
      <c r="C25" s="19" t="s">
        <v>3</v>
      </c>
      <c r="D25" s="20">
        <v>1</v>
      </c>
      <c r="E25" s="19" t="s">
        <v>4</v>
      </c>
      <c r="F25" s="20">
        <v>1</v>
      </c>
      <c r="G25" s="19" t="s">
        <v>5</v>
      </c>
      <c r="H25" s="20" t="s">
        <v>239</v>
      </c>
      <c r="I25" s="19" t="s">
        <v>6</v>
      </c>
      <c r="J25" s="20">
        <v>1</v>
      </c>
      <c r="K25" s="19" t="s">
        <v>7</v>
      </c>
      <c r="L25" s="20"/>
      <c r="M25" s="19" t="s">
        <v>8</v>
      </c>
      <c r="N25" s="20"/>
      <c r="O25" s="19" t="s">
        <v>9</v>
      </c>
      <c r="P25" s="20"/>
    </row>
    <row r="26" spans="1:20" ht="15.75" customHeight="1" x14ac:dyDescent="0.25">
      <c r="A26" s="21" t="s">
        <v>105</v>
      </c>
      <c r="B26" s="21" t="s">
        <v>11</v>
      </c>
      <c r="C26" s="22" t="s">
        <v>12</v>
      </c>
      <c r="D26" s="22" t="s">
        <v>13</v>
      </c>
      <c r="E26" s="22" t="s">
        <v>14</v>
      </c>
      <c r="F26" s="22" t="s">
        <v>15</v>
      </c>
      <c r="G26" s="22" t="s">
        <v>16</v>
      </c>
      <c r="H26" s="22" t="s">
        <v>17</v>
      </c>
      <c r="I26" s="22" t="s">
        <v>18</v>
      </c>
      <c r="J26" s="22" t="s">
        <v>19</v>
      </c>
      <c r="K26" s="22" t="s">
        <v>20</v>
      </c>
      <c r="L26" s="22" t="s">
        <v>21</v>
      </c>
      <c r="M26" s="22" t="s">
        <v>22</v>
      </c>
      <c r="N26" s="22" t="s">
        <v>23</v>
      </c>
      <c r="O26" s="22" t="s">
        <v>24</v>
      </c>
      <c r="P26" s="22" t="s">
        <v>25</v>
      </c>
      <c r="Q26" s="22" t="s">
        <v>26</v>
      </c>
      <c r="R26" s="22" t="s">
        <v>27</v>
      </c>
      <c r="S26" s="22" t="s">
        <v>28</v>
      </c>
      <c r="T26" s="22" t="s">
        <v>29</v>
      </c>
    </row>
    <row r="27" spans="1:20" ht="15.75" customHeight="1" x14ac:dyDescent="0.25">
      <c r="A27" s="23" t="s">
        <v>106</v>
      </c>
      <c r="B27" s="24" t="s">
        <v>107</v>
      </c>
      <c r="C27" s="2"/>
      <c r="D27" s="2"/>
      <c r="E27" s="12" t="str">
        <f t="shared" ref="E27:E42" si="6">IF(AND(ISNUMBER(C27),ISNUMBER(D27)),ROUND(C27*(1+D27/30),1),"—")</f>
        <v>—</v>
      </c>
      <c r="F27" s="2"/>
      <c r="G27" s="2"/>
      <c r="H27" s="12" t="str">
        <f t="shared" ref="H27:H42" si="7">IF(AND(ISNUMBER(F27),ISNUMBER(G27)),ROUND(F27*(1+G27/30),1),"—")</f>
        <v>—</v>
      </c>
      <c r="I27" s="2"/>
      <c r="J27" s="2"/>
      <c r="K27" s="12" t="str">
        <f t="shared" ref="K27:K42" si="8">IF(AND(ISNUMBER(I27),ISNUMBER(J27)),ROUND(I27*(1+J27/30),1),"—")</f>
        <v>—</v>
      </c>
      <c r="L27" s="2"/>
      <c r="M27" s="2"/>
      <c r="N27" s="12" t="str">
        <f t="shared" ref="N27:N42" si="9">IF(AND(ISNUMBER(L27),ISNUMBER(M27)),ROUND(L27*(1+M27/30),1),"—")</f>
        <v>—</v>
      </c>
      <c r="O27" s="2"/>
      <c r="P27" s="2"/>
      <c r="Q27" s="12" t="str">
        <f t="shared" ref="Q27:Q42" si="10">IF(AND(ISNUMBER(O27),ISNUMBER(P27)),ROUND(O27*(1+P27/30),1),"—")</f>
        <v>—</v>
      </c>
      <c r="R27" s="25">
        <f t="shared" ref="R27:R42" si="11">IFERROR(MAX(IFERROR(VALUE(E27),0),IFERROR(VALUE(H27),0),IFERROR(VALUE(K27),0),IFERROR(VALUE(N27),0),IFERROR(VALUE(Q27),0)),"—")</f>
        <v>0</v>
      </c>
      <c r="S27" s="14"/>
      <c r="T27" s="14"/>
    </row>
    <row r="28" spans="1:20" ht="15.75" customHeight="1" x14ac:dyDescent="0.25">
      <c r="A28" s="26" t="s">
        <v>108</v>
      </c>
      <c r="B28" s="16" t="s">
        <v>33</v>
      </c>
      <c r="C28" s="2"/>
      <c r="D28" s="2"/>
      <c r="E28" s="12" t="str">
        <f t="shared" si="6"/>
        <v>—</v>
      </c>
      <c r="F28" s="2"/>
      <c r="G28" s="2"/>
      <c r="H28" s="12" t="str">
        <f t="shared" si="7"/>
        <v>—</v>
      </c>
      <c r="I28" s="2"/>
      <c r="J28" s="2"/>
      <c r="K28" s="12" t="str">
        <f t="shared" si="8"/>
        <v>—</v>
      </c>
      <c r="L28" s="2"/>
      <c r="M28" s="2"/>
      <c r="N28" s="12" t="str">
        <f t="shared" si="9"/>
        <v>—</v>
      </c>
      <c r="O28" s="2"/>
      <c r="P28" s="2"/>
      <c r="Q28" s="12" t="str">
        <f t="shared" si="10"/>
        <v>—</v>
      </c>
      <c r="R28" s="25">
        <f t="shared" si="11"/>
        <v>0</v>
      </c>
      <c r="S28" s="14"/>
      <c r="T28" s="14"/>
    </row>
    <row r="29" spans="1:20" ht="15.75" customHeight="1" x14ac:dyDescent="0.25">
      <c r="A29" s="23" t="s">
        <v>109</v>
      </c>
      <c r="B29" s="24" t="s">
        <v>110</v>
      </c>
      <c r="C29" s="2"/>
      <c r="D29" s="2"/>
      <c r="E29" s="12" t="str">
        <f t="shared" si="6"/>
        <v>—</v>
      </c>
      <c r="F29" s="2"/>
      <c r="G29" s="2"/>
      <c r="H29" s="12" t="str">
        <f t="shared" si="7"/>
        <v>—</v>
      </c>
      <c r="I29" s="2"/>
      <c r="J29" s="2"/>
      <c r="K29" s="12" t="str">
        <f t="shared" si="8"/>
        <v>—</v>
      </c>
      <c r="L29" s="2"/>
      <c r="M29" s="2"/>
      <c r="N29" s="12" t="str">
        <f t="shared" si="9"/>
        <v>—</v>
      </c>
      <c r="O29" s="2"/>
      <c r="P29" s="2"/>
      <c r="Q29" s="12" t="str">
        <f t="shared" si="10"/>
        <v>—</v>
      </c>
      <c r="R29" s="25">
        <f t="shared" si="11"/>
        <v>0</v>
      </c>
      <c r="S29" s="14"/>
      <c r="T29" s="14"/>
    </row>
    <row r="30" spans="1:20" ht="15.75" customHeight="1" x14ac:dyDescent="0.25">
      <c r="A30" s="26" t="s">
        <v>111</v>
      </c>
      <c r="B30" s="16" t="s">
        <v>112</v>
      </c>
      <c r="C30" s="2"/>
      <c r="D30" s="2"/>
      <c r="E30" s="12" t="str">
        <f t="shared" si="6"/>
        <v>—</v>
      </c>
      <c r="F30" s="2"/>
      <c r="G30" s="2"/>
      <c r="H30" s="12" t="str">
        <f t="shared" si="7"/>
        <v>—</v>
      </c>
      <c r="I30" s="2"/>
      <c r="J30" s="2"/>
      <c r="K30" s="12" t="str">
        <f t="shared" si="8"/>
        <v>—</v>
      </c>
      <c r="L30" s="2"/>
      <c r="M30" s="2"/>
      <c r="N30" s="12" t="str">
        <f t="shared" si="9"/>
        <v>—</v>
      </c>
      <c r="O30" s="2"/>
      <c r="P30" s="2"/>
      <c r="Q30" s="12" t="str">
        <f t="shared" si="10"/>
        <v>—</v>
      </c>
      <c r="R30" s="25">
        <f t="shared" si="11"/>
        <v>0</v>
      </c>
      <c r="S30" s="14"/>
      <c r="T30" s="14"/>
    </row>
    <row r="31" spans="1:20" ht="15.75" customHeight="1" x14ac:dyDescent="0.25">
      <c r="A31" s="23" t="s">
        <v>113</v>
      </c>
      <c r="B31" s="24" t="s">
        <v>114</v>
      </c>
      <c r="C31" s="2">
        <v>78</v>
      </c>
      <c r="D31" s="2">
        <v>2</v>
      </c>
      <c r="E31" s="12">
        <f t="shared" si="6"/>
        <v>83.2</v>
      </c>
      <c r="F31" s="2">
        <v>78</v>
      </c>
      <c r="G31" s="2">
        <v>2</v>
      </c>
      <c r="H31" s="12">
        <f t="shared" si="7"/>
        <v>83.2</v>
      </c>
      <c r="I31" s="2">
        <v>78</v>
      </c>
      <c r="J31" s="2">
        <v>2</v>
      </c>
      <c r="K31" s="12">
        <f t="shared" si="8"/>
        <v>83.2</v>
      </c>
      <c r="L31" s="2"/>
      <c r="M31" s="2"/>
      <c r="N31" s="12" t="str">
        <f t="shared" si="9"/>
        <v>—</v>
      </c>
      <c r="O31" s="2"/>
      <c r="P31" s="2"/>
      <c r="Q31" s="12" t="str">
        <f t="shared" si="10"/>
        <v>—</v>
      </c>
      <c r="R31" s="25">
        <f t="shared" si="11"/>
        <v>83.2</v>
      </c>
      <c r="S31" s="14" t="s">
        <v>40</v>
      </c>
      <c r="T31" s="14" t="s">
        <v>115</v>
      </c>
    </row>
    <row r="32" spans="1:20" ht="15.75" customHeight="1" x14ac:dyDescent="0.25">
      <c r="A32" s="26" t="s">
        <v>116</v>
      </c>
      <c r="B32" s="16" t="s">
        <v>117</v>
      </c>
      <c r="C32" s="2">
        <v>5</v>
      </c>
      <c r="D32" s="2">
        <v>30</v>
      </c>
      <c r="E32" s="12">
        <f t="shared" si="6"/>
        <v>10</v>
      </c>
      <c r="F32" s="2">
        <v>7.5</v>
      </c>
      <c r="G32" s="2">
        <v>20</v>
      </c>
      <c r="H32" s="12">
        <f t="shared" si="7"/>
        <v>12.5</v>
      </c>
      <c r="I32" s="2">
        <v>10</v>
      </c>
      <c r="J32" s="2">
        <v>10</v>
      </c>
      <c r="K32" s="12">
        <f t="shared" si="8"/>
        <v>13.3</v>
      </c>
      <c r="L32" s="2">
        <v>10</v>
      </c>
      <c r="M32" s="2">
        <v>14</v>
      </c>
      <c r="N32" s="12">
        <f t="shared" si="9"/>
        <v>14.7</v>
      </c>
      <c r="O32" s="2"/>
      <c r="P32" s="2"/>
      <c r="Q32" s="12" t="str">
        <f t="shared" si="10"/>
        <v>—</v>
      </c>
      <c r="R32" s="25">
        <f t="shared" si="11"/>
        <v>14.7</v>
      </c>
      <c r="S32" s="14" t="s">
        <v>40</v>
      </c>
      <c r="T32" s="14" t="s">
        <v>103</v>
      </c>
    </row>
    <row r="33" spans="1:20" ht="15.75" customHeight="1" x14ac:dyDescent="0.25">
      <c r="A33" s="23" t="s">
        <v>118</v>
      </c>
      <c r="B33" s="24" t="s">
        <v>119</v>
      </c>
      <c r="C33" s="2">
        <v>15</v>
      </c>
      <c r="D33" s="2">
        <v>20</v>
      </c>
      <c r="E33" s="12">
        <f t="shared" si="6"/>
        <v>25</v>
      </c>
      <c r="F33" s="2">
        <v>25</v>
      </c>
      <c r="G33" s="2">
        <v>11</v>
      </c>
      <c r="H33" s="12">
        <f t="shared" si="7"/>
        <v>34.200000000000003</v>
      </c>
      <c r="I33" s="2">
        <v>27.5</v>
      </c>
      <c r="J33" s="2">
        <v>13</v>
      </c>
      <c r="K33" s="12">
        <f t="shared" si="8"/>
        <v>39.4</v>
      </c>
      <c r="L33" s="2">
        <v>27.5</v>
      </c>
      <c r="M33" s="2">
        <v>10</v>
      </c>
      <c r="N33" s="12">
        <f t="shared" si="9"/>
        <v>36.700000000000003</v>
      </c>
      <c r="O33" s="2"/>
      <c r="P33" s="2"/>
      <c r="Q33" s="12" t="str">
        <f t="shared" si="10"/>
        <v>—</v>
      </c>
      <c r="R33" s="25">
        <f t="shared" si="11"/>
        <v>39.4</v>
      </c>
      <c r="S33" s="14" t="s">
        <v>40</v>
      </c>
      <c r="T33" s="14" t="s">
        <v>103</v>
      </c>
    </row>
    <row r="34" spans="1:20" ht="15.75" customHeight="1" x14ac:dyDescent="0.25">
      <c r="A34" s="26" t="s">
        <v>120</v>
      </c>
      <c r="B34" s="16" t="s">
        <v>121</v>
      </c>
      <c r="C34" s="2">
        <v>7.5</v>
      </c>
      <c r="D34" s="2">
        <v>12</v>
      </c>
      <c r="E34" s="12">
        <f t="shared" si="6"/>
        <v>10.5</v>
      </c>
      <c r="F34" s="2">
        <v>10</v>
      </c>
      <c r="G34" s="2">
        <v>8</v>
      </c>
      <c r="H34" s="12">
        <f t="shared" si="7"/>
        <v>12.7</v>
      </c>
      <c r="I34" s="2">
        <v>10</v>
      </c>
      <c r="J34" s="2">
        <v>6</v>
      </c>
      <c r="K34" s="12">
        <f t="shared" si="8"/>
        <v>12</v>
      </c>
      <c r="L34" s="2"/>
      <c r="M34" s="2"/>
      <c r="N34" s="12" t="str">
        <f t="shared" si="9"/>
        <v>—</v>
      </c>
      <c r="O34" s="2"/>
      <c r="P34" s="2"/>
      <c r="Q34" s="12" t="str">
        <f t="shared" si="10"/>
        <v>—</v>
      </c>
      <c r="R34" s="25">
        <f t="shared" si="11"/>
        <v>12.7</v>
      </c>
      <c r="S34" s="14" t="s">
        <v>40</v>
      </c>
      <c r="T34" s="14" t="s">
        <v>44</v>
      </c>
    </row>
    <row r="35" spans="1:20" ht="15.75" customHeight="1" x14ac:dyDescent="0.25">
      <c r="A35" s="23" t="s">
        <v>122</v>
      </c>
      <c r="B35" s="24" t="s">
        <v>123</v>
      </c>
      <c r="C35" s="2">
        <v>7.5</v>
      </c>
      <c r="D35" s="2">
        <v>10</v>
      </c>
      <c r="E35" s="12">
        <f t="shared" si="6"/>
        <v>10</v>
      </c>
      <c r="F35" s="2">
        <v>10</v>
      </c>
      <c r="G35" s="2">
        <v>8</v>
      </c>
      <c r="H35" s="12">
        <f t="shared" si="7"/>
        <v>12.7</v>
      </c>
      <c r="I35" s="2">
        <v>10</v>
      </c>
      <c r="J35" s="2">
        <v>8</v>
      </c>
      <c r="K35" s="12">
        <f t="shared" si="8"/>
        <v>12.7</v>
      </c>
      <c r="L35" s="2"/>
      <c r="M35" s="2"/>
      <c r="N35" s="12" t="str">
        <f t="shared" si="9"/>
        <v>—</v>
      </c>
      <c r="O35" s="2"/>
      <c r="P35" s="2"/>
      <c r="Q35" s="12" t="str">
        <f t="shared" si="10"/>
        <v>—</v>
      </c>
      <c r="R35" s="25">
        <f t="shared" si="11"/>
        <v>12.7</v>
      </c>
      <c r="S35" s="14" t="s">
        <v>40</v>
      </c>
      <c r="T35" s="14" t="s">
        <v>44</v>
      </c>
    </row>
    <row r="36" spans="1:20" ht="15.75" customHeight="1" x14ac:dyDescent="0.25">
      <c r="A36" s="26" t="s">
        <v>124</v>
      </c>
      <c r="B36" s="16" t="s">
        <v>125</v>
      </c>
      <c r="C36" s="2">
        <v>7.5</v>
      </c>
      <c r="D36" s="2">
        <v>11</v>
      </c>
      <c r="E36" s="12">
        <f t="shared" si="6"/>
        <v>10.3</v>
      </c>
      <c r="F36" s="2">
        <v>7.5</v>
      </c>
      <c r="G36" s="2">
        <v>11</v>
      </c>
      <c r="H36" s="12">
        <f t="shared" si="7"/>
        <v>10.3</v>
      </c>
      <c r="I36" s="2">
        <v>7.5</v>
      </c>
      <c r="J36" s="2">
        <v>6</v>
      </c>
      <c r="K36" s="12">
        <f t="shared" si="8"/>
        <v>9</v>
      </c>
      <c r="L36" s="2"/>
      <c r="M36" s="2"/>
      <c r="N36" s="12" t="str">
        <f t="shared" si="9"/>
        <v>—</v>
      </c>
      <c r="O36" s="2"/>
      <c r="P36" s="2"/>
      <c r="Q36" s="12" t="str">
        <f t="shared" si="10"/>
        <v>—</v>
      </c>
      <c r="R36" s="25">
        <f t="shared" si="11"/>
        <v>10.3</v>
      </c>
      <c r="S36" s="14" t="s">
        <v>40</v>
      </c>
      <c r="T36" s="14" t="s">
        <v>103</v>
      </c>
    </row>
    <row r="37" spans="1:20" ht="15.75" customHeight="1" x14ac:dyDescent="0.25">
      <c r="A37" s="23" t="s">
        <v>126</v>
      </c>
      <c r="B37" s="24" t="s">
        <v>127</v>
      </c>
      <c r="C37" s="2">
        <v>7.5</v>
      </c>
      <c r="D37" s="2">
        <v>10</v>
      </c>
      <c r="E37" s="12">
        <f t="shared" si="6"/>
        <v>10</v>
      </c>
      <c r="F37" s="2">
        <v>10</v>
      </c>
      <c r="G37" s="2">
        <v>4</v>
      </c>
      <c r="H37" s="12">
        <f t="shared" si="7"/>
        <v>11.3</v>
      </c>
      <c r="I37" s="2">
        <v>10</v>
      </c>
      <c r="J37" s="2">
        <v>3</v>
      </c>
      <c r="K37" s="12">
        <f t="shared" si="8"/>
        <v>11</v>
      </c>
      <c r="L37" s="2"/>
      <c r="M37" s="2"/>
      <c r="N37" s="12" t="str">
        <f t="shared" si="9"/>
        <v>—</v>
      </c>
      <c r="O37" s="2"/>
      <c r="P37" s="2"/>
      <c r="Q37" s="12" t="str">
        <f t="shared" si="10"/>
        <v>—</v>
      </c>
      <c r="R37" s="25">
        <f t="shared" si="11"/>
        <v>11.3</v>
      </c>
      <c r="S37" s="14"/>
      <c r="T37" s="14"/>
    </row>
    <row r="38" spans="1:20" ht="15.75" customHeight="1" x14ac:dyDescent="0.25">
      <c r="A38" s="26" t="s">
        <v>128</v>
      </c>
      <c r="B38" s="16" t="s">
        <v>129</v>
      </c>
      <c r="C38" s="2"/>
      <c r="D38" s="2"/>
      <c r="E38" s="12" t="str">
        <f t="shared" si="6"/>
        <v>—</v>
      </c>
      <c r="F38" s="2"/>
      <c r="G38" s="2"/>
      <c r="H38" s="12" t="str">
        <f t="shared" si="7"/>
        <v>—</v>
      </c>
      <c r="I38" s="2"/>
      <c r="J38" s="2"/>
      <c r="K38" s="12" t="str">
        <f t="shared" si="8"/>
        <v>—</v>
      </c>
      <c r="L38" s="2"/>
      <c r="M38" s="2"/>
      <c r="N38" s="12" t="str">
        <f t="shared" si="9"/>
        <v>—</v>
      </c>
      <c r="O38" s="2"/>
      <c r="P38" s="2"/>
      <c r="Q38" s="12" t="str">
        <f t="shared" si="10"/>
        <v>—</v>
      </c>
      <c r="R38" s="25">
        <f t="shared" si="11"/>
        <v>0</v>
      </c>
      <c r="S38" s="14"/>
      <c r="T38" s="14"/>
    </row>
    <row r="39" spans="1:20" ht="15.75" customHeight="1" x14ac:dyDescent="0.25">
      <c r="A39" s="23" t="s">
        <v>130</v>
      </c>
      <c r="B39" s="24" t="s">
        <v>131</v>
      </c>
      <c r="C39" s="2"/>
      <c r="D39" s="2"/>
      <c r="E39" s="12" t="str">
        <f t="shared" si="6"/>
        <v>—</v>
      </c>
      <c r="F39" s="2"/>
      <c r="G39" s="2"/>
      <c r="H39" s="12" t="str">
        <f t="shared" si="7"/>
        <v>—</v>
      </c>
      <c r="I39" s="2"/>
      <c r="J39" s="2"/>
      <c r="K39" s="12" t="str">
        <f t="shared" si="8"/>
        <v>—</v>
      </c>
      <c r="L39" s="2"/>
      <c r="M39" s="2"/>
      <c r="N39" s="12" t="str">
        <f t="shared" si="9"/>
        <v>—</v>
      </c>
      <c r="O39" s="2"/>
      <c r="P39" s="2"/>
      <c r="Q39" s="12" t="str">
        <f t="shared" si="10"/>
        <v>—</v>
      </c>
      <c r="R39" s="25">
        <f t="shared" si="11"/>
        <v>0</v>
      </c>
      <c r="S39" s="14"/>
      <c r="T39" s="14"/>
    </row>
    <row r="40" spans="1:20" ht="15.75" customHeight="1" x14ac:dyDescent="0.25">
      <c r="A40" s="26" t="s">
        <v>132</v>
      </c>
      <c r="B40" s="16" t="s">
        <v>133</v>
      </c>
      <c r="C40" s="2"/>
      <c r="D40" s="2"/>
      <c r="E40" s="12" t="str">
        <f t="shared" si="6"/>
        <v>—</v>
      </c>
      <c r="F40" s="2"/>
      <c r="G40" s="2"/>
      <c r="H40" s="12" t="str">
        <f t="shared" si="7"/>
        <v>—</v>
      </c>
      <c r="I40" s="2"/>
      <c r="J40" s="2"/>
      <c r="K40" s="12" t="str">
        <f t="shared" si="8"/>
        <v>—</v>
      </c>
      <c r="L40" s="2"/>
      <c r="M40" s="2"/>
      <c r="N40" s="12" t="str">
        <f t="shared" si="9"/>
        <v>—</v>
      </c>
      <c r="O40" s="2"/>
      <c r="P40" s="2"/>
      <c r="Q40" s="12" t="str">
        <f t="shared" si="10"/>
        <v>—</v>
      </c>
      <c r="R40" s="25">
        <f t="shared" si="11"/>
        <v>0</v>
      </c>
      <c r="S40" s="14"/>
      <c r="T40" s="14"/>
    </row>
    <row r="41" spans="1:20" ht="15.75" customHeight="1" x14ac:dyDescent="0.25">
      <c r="A41" s="23" t="s">
        <v>134</v>
      </c>
      <c r="B41" s="24" t="s">
        <v>133</v>
      </c>
      <c r="C41" s="2"/>
      <c r="D41" s="2"/>
      <c r="E41" s="12" t="str">
        <f t="shared" si="6"/>
        <v>—</v>
      </c>
      <c r="F41" s="2"/>
      <c r="G41" s="2"/>
      <c r="H41" s="12" t="str">
        <f t="shared" si="7"/>
        <v>—</v>
      </c>
      <c r="I41" s="2"/>
      <c r="J41" s="2"/>
      <c r="K41" s="12" t="str">
        <f t="shared" si="8"/>
        <v>—</v>
      </c>
      <c r="L41" s="2"/>
      <c r="M41" s="2"/>
      <c r="N41" s="12" t="str">
        <f t="shared" si="9"/>
        <v>—</v>
      </c>
      <c r="O41" s="2"/>
      <c r="P41" s="2"/>
      <c r="Q41" s="12" t="str">
        <f t="shared" si="10"/>
        <v>—</v>
      </c>
      <c r="R41" s="25">
        <f t="shared" si="11"/>
        <v>0</v>
      </c>
      <c r="S41" s="14"/>
      <c r="T41" s="14"/>
    </row>
    <row r="42" spans="1:20" ht="15.75" customHeight="1" x14ac:dyDescent="0.25">
      <c r="A42" s="26" t="s">
        <v>135</v>
      </c>
      <c r="B42" s="16" t="s">
        <v>95</v>
      </c>
      <c r="C42" s="2"/>
      <c r="D42" s="2"/>
      <c r="E42" s="12" t="str">
        <f t="shared" si="6"/>
        <v>—</v>
      </c>
      <c r="F42" s="2"/>
      <c r="G42" s="2"/>
      <c r="H42" s="12" t="str">
        <f t="shared" si="7"/>
        <v>—</v>
      </c>
      <c r="I42" s="2"/>
      <c r="J42" s="2"/>
      <c r="K42" s="12" t="str">
        <f t="shared" si="8"/>
        <v>—</v>
      </c>
      <c r="L42" s="2"/>
      <c r="M42" s="2"/>
      <c r="N42" s="12" t="str">
        <f t="shared" si="9"/>
        <v>—</v>
      </c>
      <c r="O42" s="2"/>
      <c r="P42" s="2"/>
      <c r="Q42" s="12" t="str">
        <f t="shared" si="10"/>
        <v>—</v>
      </c>
      <c r="R42" s="25">
        <f t="shared" si="11"/>
        <v>0</v>
      </c>
      <c r="S42" s="14"/>
      <c r="T42" s="14"/>
    </row>
    <row r="43" spans="1:20" ht="15.75" customHeight="1" x14ac:dyDescent="0.25">
      <c r="A43" s="42" t="s">
        <v>63</v>
      </c>
      <c r="B43" s="40"/>
    </row>
    <row r="44" spans="1:20" ht="15.75" customHeight="1" x14ac:dyDescent="0.25">
      <c r="A44" s="41" t="s">
        <v>64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40"/>
    </row>
    <row r="45" spans="1:20" ht="15.7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spans="1:20" ht="36" customHeight="1" x14ac:dyDescent="0.25">
      <c r="A46" s="44" t="s">
        <v>169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0"/>
    </row>
    <row r="47" spans="1:20" ht="19.5" customHeight="1" x14ac:dyDescent="0.25">
      <c r="A47" s="43" t="s">
        <v>1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0"/>
    </row>
    <row r="48" spans="1:20" ht="21.75" customHeight="1" x14ac:dyDescent="0.25">
      <c r="A48" s="27" t="s">
        <v>2</v>
      </c>
      <c r="B48" s="45">
        <v>46026</v>
      </c>
      <c r="C48" s="29" t="s">
        <v>3</v>
      </c>
      <c r="D48" s="30">
        <v>1</v>
      </c>
      <c r="E48" s="29" t="s">
        <v>4</v>
      </c>
      <c r="F48" s="30">
        <v>1</v>
      </c>
      <c r="G48" s="29" t="s">
        <v>5</v>
      </c>
      <c r="H48" s="30" t="s">
        <v>239</v>
      </c>
      <c r="I48" s="29" t="s">
        <v>6</v>
      </c>
      <c r="J48" s="30">
        <v>1</v>
      </c>
      <c r="K48" s="29" t="s">
        <v>7</v>
      </c>
      <c r="L48" s="30"/>
      <c r="M48" s="29" t="s">
        <v>8</v>
      </c>
      <c r="N48" s="30"/>
      <c r="O48" s="29" t="s">
        <v>9</v>
      </c>
      <c r="P48" s="30"/>
    </row>
    <row r="49" spans="1:20" ht="36" customHeight="1" x14ac:dyDescent="0.25">
      <c r="A49" s="31" t="s">
        <v>171</v>
      </c>
      <c r="B49" s="31" t="s">
        <v>11</v>
      </c>
      <c r="C49" s="32" t="s">
        <v>12</v>
      </c>
      <c r="D49" s="32" t="s">
        <v>13</v>
      </c>
      <c r="E49" s="32" t="s">
        <v>14</v>
      </c>
      <c r="F49" s="32" t="s">
        <v>15</v>
      </c>
      <c r="G49" s="32" t="s">
        <v>16</v>
      </c>
      <c r="H49" s="32" t="s">
        <v>17</v>
      </c>
      <c r="I49" s="32" t="s">
        <v>18</v>
      </c>
      <c r="J49" s="32" t="s">
        <v>19</v>
      </c>
      <c r="K49" s="32" t="s">
        <v>20</v>
      </c>
      <c r="L49" s="32" t="s">
        <v>21</v>
      </c>
      <c r="M49" s="32" t="s">
        <v>22</v>
      </c>
      <c r="N49" s="32" t="s">
        <v>23</v>
      </c>
      <c r="O49" s="32" t="s">
        <v>24</v>
      </c>
      <c r="P49" s="32" t="s">
        <v>25</v>
      </c>
      <c r="Q49" s="32" t="s">
        <v>26</v>
      </c>
      <c r="R49" s="32" t="s">
        <v>27</v>
      </c>
      <c r="S49" s="32" t="s">
        <v>28</v>
      </c>
      <c r="T49" s="32" t="s">
        <v>29</v>
      </c>
    </row>
    <row r="50" spans="1:20" ht="21.75" customHeight="1" x14ac:dyDescent="0.25">
      <c r="A50" s="33" t="s">
        <v>172</v>
      </c>
      <c r="B50" s="16" t="s">
        <v>173</v>
      </c>
      <c r="C50" s="2"/>
      <c r="D50" s="2"/>
      <c r="E50" s="12" t="str">
        <f t="shared" ref="E50:E65" si="12">IF(AND(ISNUMBER(C50),ISNUMBER(D50)),ROUND(C50*(1+D50/30),1),"—")</f>
        <v>—</v>
      </c>
      <c r="F50" s="2"/>
      <c r="G50" s="2"/>
      <c r="H50" s="12" t="str">
        <f t="shared" ref="H50:H65" si="13">IF(AND(ISNUMBER(F50),ISNUMBER(G50)),ROUND(F50*(1+G50/30),1),"—")</f>
        <v>—</v>
      </c>
      <c r="I50" s="2"/>
      <c r="J50" s="2"/>
      <c r="K50" s="12" t="str">
        <f t="shared" ref="K50:K65" si="14">IF(AND(ISNUMBER(I50),ISNUMBER(J50)),ROUND(I50*(1+J50/30),1),"—")</f>
        <v>—</v>
      </c>
      <c r="L50" s="2"/>
      <c r="M50" s="2"/>
      <c r="N50" s="12" t="str">
        <f t="shared" ref="N50:N65" si="15">IF(AND(ISNUMBER(L50),ISNUMBER(M50)),ROUND(L50*(1+M50/30),1),"—")</f>
        <v>—</v>
      </c>
      <c r="O50" s="2"/>
      <c r="P50" s="2"/>
      <c r="Q50" s="12" t="str">
        <f t="shared" ref="Q50:Q65" si="16">IF(AND(ISNUMBER(O50),ISNUMBER(P50)),ROUND(O50*(1+P50/30),1),"—")</f>
        <v>—</v>
      </c>
      <c r="R50" s="34">
        <f t="shared" ref="R50:R65" si="17">IFERROR(MAX(IFERROR(VALUE(E50),0),IFERROR(VALUE(H50),0),IFERROR(VALUE(K50),0),IFERROR(VALUE(N50),0),IFERROR(VALUE(Q50),0)),"—")</f>
        <v>0</v>
      </c>
      <c r="S50" s="14"/>
      <c r="T50" s="14"/>
    </row>
    <row r="51" spans="1:20" ht="21.75" customHeight="1" x14ac:dyDescent="0.25">
      <c r="A51" s="35" t="s">
        <v>174</v>
      </c>
      <c r="B51" s="36" t="s">
        <v>175</v>
      </c>
      <c r="C51" s="2"/>
      <c r="D51" s="2"/>
      <c r="E51" s="12" t="str">
        <f t="shared" si="12"/>
        <v>—</v>
      </c>
      <c r="F51" s="2"/>
      <c r="G51" s="2"/>
      <c r="H51" s="12" t="str">
        <f t="shared" si="13"/>
        <v>—</v>
      </c>
      <c r="I51" s="2"/>
      <c r="J51" s="2"/>
      <c r="K51" s="12" t="str">
        <f t="shared" si="14"/>
        <v>—</v>
      </c>
      <c r="L51" s="2"/>
      <c r="M51" s="2"/>
      <c r="N51" s="12" t="str">
        <f t="shared" si="15"/>
        <v>—</v>
      </c>
      <c r="O51" s="2"/>
      <c r="P51" s="2"/>
      <c r="Q51" s="12" t="str">
        <f t="shared" si="16"/>
        <v>—</v>
      </c>
      <c r="R51" s="34">
        <f t="shared" si="17"/>
        <v>0</v>
      </c>
      <c r="S51" s="14"/>
      <c r="T51" s="14"/>
    </row>
    <row r="52" spans="1:20" ht="21.75" customHeight="1" x14ac:dyDescent="0.25">
      <c r="A52" s="33" t="s">
        <v>176</v>
      </c>
      <c r="B52" s="16" t="s">
        <v>177</v>
      </c>
      <c r="C52" s="2"/>
      <c r="D52" s="2"/>
      <c r="E52" s="12" t="str">
        <f t="shared" si="12"/>
        <v>—</v>
      </c>
      <c r="F52" s="2"/>
      <c r="G52" s="2"/>
      <c r="H52" s="12" t="str">
        <f t="shared" si="13"/>
        <v>—</v>
      </c>
      <c r="I52" s="2"/>
      <c r="J52" s="2"/>
      <c r="K52" s="12" t="str">
        <f t="shared" si="14"/>
        <v>—</v>
      </c>
      <c r="L52" s="2"/>
      <c r="M52" s="2"/>
      <c r="N52" s="12" t="str">
        <f t="shared" si="15"/>
        <v>—</v>
      </c>
      <c r="O52" s="2"/>
      <c r="P52" s="2"/>
      <c r="Q52" s="12" t="str">
        <f t="shared" si="16"/>
        <v>—</v>
      </c>
      <c r="R52" s="34">
        <f t="shared" si="17"/>
        <v>0</v>
      </c>
      <c r="S52" s="14"/>
      <c r="T52" s="14"/>
    </row>
    <row r="53" spans="1:20" ht="21.75" customHeight="1" x14ac:dyDescent="0.25">
      <c r="A53" s="35" t="s">
        <v>178</v>
      </c>
      <c r="B53" s="36" t="s">
        <v>179</v>
      </c>
      <c r="C53" s="2"/>
      <c r="D53" s="2"/>
      <c r="E53" s="12" t="str">
        <f t="shared" si="12"/>
        <v>—</v>
      </c>
      <c r="F53" s="2"/>
      <c r="G53" s="2"/>
      <c r="H53" s="12" t="str">
        <f t="shared" si="13"/>
        <v>—</v>
      </c>
      <c r="I53" s="2"/>
      <c r="J53" s="2"/>
      <c r="K53" s="12" t="str">
        <f t="shared" si="14"/>
        <v>—</v>
      </c>
      <c r="L53" s="2"/>
      <c r="M53" s="2"/>
      <c r="N53" s="12" t="str">
        <f t="shared" si="15"/>
        <v>—</v>
      </c>
      <c r="O53" s="2"/>
      <c r="P53" s="2"/>
      <c r="Q53" s="12" t="str">
        <f t="shared" si="16"/>
        <v>—</v>
      </c>
      <c r="R53" s="34">
        <f t="shared" si="17"/>
        <v>0</v>
      </c>
      <c r="S53" s="14"/>
      <c r="T53" s="14"/>
    </row>
    <row r="54" spans="1:20" ht="21.75" customHeight="1" x14ac:dyDescent="0.25">
      <c r="A54" s="33" t="s">
        <v>180</v>
      </c>
      <c r="B54" s="16" t="s">
        <v>181</v>
      </c>
      <c r="C54" s="2"/>
      <c r="D54" s="2"/>
      <c r="E54" s="12" t="str">
        <f t="shared" si="12"/>
        <v>—</v>
      </c>
      <c r="F54" s="2"/>
      <c r="G54" s="2"/>
      <c r="H54" s="12" t="str">
        <f t="shared" si="13"/>
        <v>—</v>
      </c>
      <c r="I54" s="2"/>
      <c r="J54" s="2"/>
      <c r="K54" s="12" t="str">
        <f t="shared" si="14"/>
        <v>—</v>
      </c>
      <c r="L54" s="2"/>
      <c r="M54" s="2"/>
      <c r="N54" s="12" t="str">
        <f t="shared" si="15"/>
        <v>—</v>
      </c>
      <c r="O54" s="2"/>
      <c r="P54" s="2"/>
      <c r="Q54" s="12" t="str">
        <f t="shared" si="16"/>
        <v>—</v>
      </c>
      <c r="R54" s="34">
        <f t="shared" si="17"/>
        <v>0</v>
      </c>
      <c r="S54" s="14" t="s">
        <v>40</v>
      </c>
      <c r="T54" s="14" t="s">
        <v>103</v>
      </c>
    </row>
    <row r="55" spans="1:20" ht="21.75" customHeight="1" x14ac:dyDescent="0.25">
      <c r="A55" s="35" t="s">
        <v>182</v>
      </c>
      <c r="B55" s="36" t="s">
        <v>183</v>
      </c>
      <c r="C55" s="2"/>
      <c r="D55" s="2"/>
      <c r="E55" s="12" t="str">
        <f t="shared" si="12"/>
        <v>—</v>
      </c>
      <c r="F55" s="2"/>
      <c r="G55" s="2"/>
      <c r="H55" s="12" t="str">
        <f t="shared" si="13"/>
        <v>—</v>
      </c>
      <c r="I55" s="2"/>
      <c r="J55" s="2"/>
      <c r="K55" s="12" t="str">
        <f t="shared" si="14"/>
        <v>—</v>
      </c>
      <c r="L55" s="2"/>
      <c r="M55" s="2"/>
      <c r="N55" s="12" t="str">
        <f t="shared" si="15"/>
        <v>—</v>
      </c>
      <c r="O55" s="2"/>
      <c r="P55" s="2"/>
      <c r="Q55" s="12" t="str">
        <f t="shared" si="16"/>
        <v>—</v>
      </c>
      <c r="R55" s="34">
        <f t="shared" si="17"/>
        <v>0</v>
      </c>
      <c r="S55" s="14" t="s">
        <v>40</v>
      </c>
      <c r="T55" s="14" t="s">
        <v>103</v>
      </c>
    </row>
    <row r="56" spans="1:20" ht="21.75" customHeight="1" x14ac:dyDescent="0.25">
      <c r="A56" s="33" t="s">
        <v>184</v>
      </c>
      <c r="B56" s="16" t="s">
        <v>185</v>
      </c>
      <c r="C56" s="2"/>
      <c r="D56" s="2"/>
      <c r="E56" s="12" t="str">
        <f t="shared" si="12"/>
        <v>—</v>
      </c>
      <c r="F56" s="2"/>
      <c r="G56" s="2"/>
      <c r="H56" s="12" t="str">
        <f t="shared" si="13"/>
        <v>—</v>
      </c>
      <c r="I56" s="2"/>
      <c r="J56" s="2"/>
      <c r="K56" s="12" t="str">
        <f t="shared" si="14"/>
        <v>—</v>
      </c>
      <c r="L56" s="2"/>
      <c r="M56" s="2"/>
      <c r="N56" s="12" t="str">
        <f t="shared" si="15"/>
        <v>—</v>
      </c>
      <c r="O56" s="2"/>
      <c r="P56" s="2"/>
      <c r="Q56" s="12" t="str">
        <f t="shared" si="16"/>
        <v>—</v>
      </c>
      <c r="R56" s="34">
        <f t="shared" si="17"/>
        <v>0</v>
      </c>
      <c r="S56" s="14" t="s">
        <v>40</v>
      </c>
      <c r="T56" s="14" t="s">
        <v>186</v>
      </c>
    </row>
    <row r="57" spans="1:20" ht="21.75" customHeight="1" x14ac:dyDescent="0.25">
      <c r="A57" s="35" t="s">
        <v>187</v>
      </c>
      <c r="B57" s="36" t="s">
        <v>188</v>
      </c>
      <c r="C57" s="2"/>
      <c r="D57" s="2"/>
      <c r="E57" s="12" t="str">
        <f t="shared" si="12"/>
        <v>—</v>
      </c>
      <c r="F57" s="2"/>
      <c r="G57" s="2"/>
      <c r="H57" s="12" t="str">
        <f t="shared" si="13"/>
        <v>—</v>
      </c>
      <c r="I57" s="2"/>
      <c r="J57" s="2"/>
      <c r="K57" s="12" t="str">
        <f t="shared" si="14"/>
        <v>—</v>
      </c>
      <c r="L57" s="2"/>
      <c r="M57" s="2"/>
      <c r="N57" s="12" t="str">
        <f t="shared" si="15"/>
        <v>—</v>
      </c>
      <c r="O57" s="2"/>
      <c r="P57" s="2"/>
      <c r="Q57" s="12" t="str">
        <f t="shared" si="16"/>
        <v>—</v>
      </c>
      <c r="R57" s="34">
        <f t="shared" si="17"/>
        <v>0</v>
      </c>
      <c r="S57" s="14" t="s">
        <v>40</v>
      </c>
      <c r="T57" s="14" t="s">
        <v>103</v>
      </c>
    </row>
    <row r="58" spans="1:20" ht="21.75" customHeight="1" x14ac:dyDescent="0.25">
      <c r="A58" s="33" t="s">
        <v>189</v>
      </c>
      <c r="B58" s="16" t="s">
        <v>190</v>
      </c>
      <c r="C58" s="2"/>
      <c r="D58" s="2"/>
      <c r="E58" s="12" t="str">
        <f t="shared" si="12"/>
        <v>—</v>
      </c>
      <c r="F58" s="2"/>
      <c r="G58" s="2"/>
      <c r="H58" s="12" t="str">
        <f t="shared" si="13"/>
        <v>—</v>
      </c>
      <c r="I58" s="2"/>
      <c r="J58" s="2"/>
      <c r="K58" s="12" t="str">
        <f t="shared" si="14"/>
        <v>—</v>
      </c>
      <c r="L58" s="2"/>
      <c r="M58" s="2"/>
      <c r="N58" s="12" t="str">
        <f t="shared" si="15"/>
        <v>—</v>
      </c>
      <c r="O58" s="2"/>
      <c r="P58" s="2"/>
      <c r="Q58" s="12" t="str">
        <f t="shared" si="16"/>
        <v>—</v>
      </c>
      <c r="R58" s="34">
        <f t="shared" si="17"/>
        <v>0</v>
      </c>
      <c r="S58" s="14" t="s">
        <v>40</v>
      </c>
      <c r="T58" s="14" t="s">
        <v>44</v>
      </c>
    </row>
    <row r="59" spans="1:20" ht="21.75" customHeight="1" x14ac:dyDescent="0.25">
      <c r="A59" s="35" t="s">
        <v>191</v>
      </c>
      <c r="B59" s="36" t="s">
        <v>192</v>
      </c>
      <c r="C59" s="2"/>
      <c r="D59" s="2"/>
      <c r="E59" s="12" t="str">
        <f t="shared" si="12"/>
        <v>—</v>
      </c>
      <c r="F59" s="2"/>
      <c r="G59" s="2"/>
      <c r="H59" s="12" t="str">
        <f t="shared" si="13"/>
        <v>—</v>
      </c>
      <c r="I59" s="2"/>
      <c r="J59" s="2"/>
      <c r="K59" s="12" t="str">
        <f t="shared" si="14"/>
        <v>—</v>
      </c>
      <c r="L59" s="2"/>
      <c r="M59" s="2"/>
      <c r="N59" s="12" t="str">
        <f t="shared" si="15"/>
        <v>—</v>
      </c>
      <c r="O59" s="2"/>
      <c r="P59" s="2"/>
      <c r="Q59" s="12" t="str">
        <f t="shared" si="16"/>
        <v>—</v>
      </c>
      <c r="R59" s="34">
        <f t="shared" si="17"/>
        <v>0</v>
      </c>
      <c r="S59" s="14" t="s">
        <v>40</v>
      </c>
      <c r="T59" s="14" t="s">
        <v>100</v>
      </c>
    </row>
    <row r="60" spans="1:20" ht="21.75" customHeight="1" x14ac:dyDescent="0.25">
      <c r="A60" s="33" t="s">
        <v>193</v>
      </c>
      <c r="B60" s="16" t="s">
        <v>194</v>
      </c>
      <c r="C60" s="2"/>
      <c r="D60" s="2"/>
      <c r="E60" s="12" t="str">
        <f t="shared" si="12"/>
        <v>—</v>
      </c>
      <c r="F60" s="2"/>
      <c r="G60" s="2"/>
      <c r="H60" s="12" t="str">
        <f t="shared" si="13"/>
        <v>—</v>
      </c>
      <c r="I60" s="2"/>
      <c r="J60" s="2"/>
      <c r="K60" s="12" t="str">
        <f t="shared" si="14"/>
        <v>—</v>
      </c>
      <c r="L60" s="2"/>
      <c r="M60" s="2"/>
      <c r="N60" s="12" t="str">
        <f t="shared" si="15"/>
        <v>—</v>
      </c>
      <c r="O60" s="2"/>
      <c r="P60" s="2"/>
      <c r="Q60" s="12" t="str">
        <f t="shared" si="16"/>
        <v>—</v>
      </c>
      <c r="R60" s="34">
        <f t="shared" si="17"/>
        <v>0</v>
      </c>
      <c r="S60" s="14" t="s">
        <v>40</v>
      </c>
      <c r="T60" s="14" t="s">
        <v>186</v>
      </c>
    </row>
    <row r="61" spans="1:20" ht="21.75" customHeight="1" x14ac:dyDescent="0.25">
      <c r="A61" s="35" t="s">
        <v>195</v>
      </c>
      <c r="B61" s="36" t="s">
        <v>196</v>
      </c>
      <c r="C61" s="2"/>
      <c r="D61" s="2"/>
      <c r="E61" s="12" t="str">
        <f t="shared" si="12"/>
        <v>—</v>
      </c>
      <c r="F61" s="2"/>
      <c r="G61" s="2"/>
      <c r="H61" s="12" t="str">
        <f t="shared" si="13"/>
        <v>—</v>
      </c>
      <c r="I61" s="2"/>
      <c r="J61" s="2"/>
      <c r="K61" s="12" t="str">
        <f t="shared" si="14"/>
        <v>—</v>
      </c>
      <c r="L61" s="2"/>
      <c r="M61" s="2"/>
      <c r="N61" s="12" t="str">
        <f t="shared" si="15"/>
        <v>—</v>
      </c>
      <c r="O61" s="2"/>
      <c r="P61" s="2"/>
      <c r="Q61" s="12" t="str">
        <f t="shared" si="16"/>
        <v>—</v>
      </c>
      <c r="R61" s="34">
        <f t="shared" si="17"/>
        <v>0</v>
      </c>
      <c r="S61" s="14" t="s">
        <v>40</v>
      </c>
      <c r="T61" s="14" t="s">
        <v>186</v>
      </c>
    </row>
    <row r="62" spans="1:20" ht="21.75" customHeight="1" x14ac:dyDescent="0.25">
      <c r="A62" s="33" t="s">
        <v>197</v>
      </c>
      <c r="B62" s="16" t="s">
        <v>198</v>
      </c>
      <c r="C62" s="2"/>
      <c r="D62" s="2"/>
      <c r="E62" s="12" t="str">
        <f t="shared" si="12"/>
        <v>—</v>
      </c>
      <c r="F62" s="2"/>
      <c r="G62" s="2"/>
      <c r="H62" s="12" t="str">
        <f t="shared" si="13"/>
        <v>—</v>
      </c>
      <c r="I62" s="2"/>
      <c r="J62" s="2"/>
      <c r="K62" s="12" t="str">
        <f t="shared" si="14"/>
        <v>—</v>
      </c>
      <c r="L62" s="2"/>
      <c r="M62" s="2"/>
      <c r="N62" s="12" t="str">
        <f t="shared" si="15"/>
        <v>—</v>
      </c>
      <c r="O62" s="2"/>
      <c r="P62" s="2"/>
      <c r="Q62" s="12" t="str">
        <f t="shared" si="16"/>
        <v>—</v>
      </c>
      <c r="R62" s="34">
        <f t="shared" si="17"/>
        <v>0</v>
      </c>
      <c r="S62" s="14" t="s">
        <v>40</v>
      </c>
      <c r="T62" s="14" t="s">
        <v>101</v>
      </c>
    </row>
    <row r="63" spans="1:20" ht="21.75" customHeight="1" x14ac:dyDescent="0.25">
      <c r="A63" s="35" t="s">
        <v>199</v>
      </c>
      <c r="B63" s="36" t="s">
        <v>200</v>
      </c>
      <c r="C63" s="2"/>
      <c r="D63" s="2"/>
      <c r="E63" s="12" t="str">
        <f t="shared" si="12"/>
        <v>—</v>
      </c>
      <c r="F63" s="2"/>
      <c r="G63" s="2"/>
      <c r="H63" s="12" t="str">
        <f t="shared" si="13"/>
        <v>—</v>
      </c>
      <c r="I63" s="2"/>
      <c r="J63" s="2"/>
      <c r="K63" s="12" t="str">
        <f t="shared" si="14"/>
        <v>—</v>
      </c>
      <c r="L63" s="2"/>
      <c r="M63" s="2"/>
      <c r="N63" s="12" t="str">
        <f t="shared" si="15"/>
        <v>—</v>
      </c>
      <c r="O63" s="2"/>
      <c r="P63" s="2"/>
      <c r="Q63" s="12" t="str">
        <f t="shared" si="16"/>
        <v>—</v>
      </c>
      <c r="R63" s="34">
        <f t="shared" si="17"/>
        <v>0</v>
      </c>
      <c r="S63" s="14" t="s">
        <v>40</v>
      </c>
      <c r="T63" s="14" t="s">
        <v>103</v>
      </c>
    </row>
    <row r="64" spans="1:20" ht="21.75" customHeight="1" x14ac:dyDescent="0.25">
      <c r="A64" s="33" t="s">
        <v>201</v>
      </c>
      <c r="B64" s="16" t="s">
        <v>202</v>
      </c>
      <c r="C64" s="2"/>
      <c r="D64" s="2"/>
      <c r="E64" s="12" t="str">
        <f t="shared" si="12"/>
        <v>—</v>
      </c>
      <c r="F64" s="2"/>
      <c r="G64" s="2"/>
      <c r="H64" s="12" t="str">
        <f t="shared" si="13"/>
        <v>—</v>
      </c>
      <c r="I64" s="2"/>
      <c r="J64" s="2"/>
      <c r="K64" s="12" t="str">
        <f t="shared" si="14"/>
        <v>—</v>
      </c>
      <c r="L64" s="2"/>
      <c r="M64" s="2"/>
      <c r="N64" s="12" t="str">
        <f t="shared" si="15"/>
        <v>—</v>
      </c>
      <c r="O64" s="2"/>
      <c r="P64" s="2"/>
      <c r="Q64" s="12" t="str">
        <f t="shared" si="16"/>
        <v>—</v>
      </c>
      <c r="R64" s="34">
        <f t="shared" si="17"/>
        <v>0</v>
      </c>
      <c r="S64" s="14"/>
      <c r="T64" s="14"/>
    </row>
    <row r="65" spans="1:20" ht="21.75" customHeight="1" x14ac:dyDescent="0.25">
      <c r="A65" s="35" t="s">
        <v>203</v>
      </c>
      <c r="B65" s="36" t="s">
        <v>198</v>
      </c>
      <c r="C65" s="2"/>
      <c r="D65" s="2"/>
      <c r="E65" s="12" t="str">
        <f t="shared" si="12"/>
        <v>—</v>
      </c>
      <c r="F65" s="2"/>
      <c r="G65" s="2"/>
      <c r="H65" s="12" t="str">
        <f t="shared" si="13"/>
        <v>—</v>
      </c>
      <c r="I65" s="2"/>
      <c r="J65" s="2"/>
      <c r="K65" s="12" t="str">
        <f t="shared" si="14"/>
        <v>—</v>
      </c>
      <c r="L65" s="2"/>
      <c r="M65" s="2"/>
      <c r="N65" s="12" t="str">
        <f t="shared" si="15"/>
        <v>—</v>
      </c>
      <c r="O65" s="2"/>
      <c r="P65" s="2"/>
      <c r="Q65" s="12" t="str">
        <f t="shared" si="16"/>
        <v>—</v>
      </c>
      <c r="R65" s="34">
        <f t="shared" si="17"/>
        <v>0</v>
      </c>
      <c r="S65" s="14" t="s">
        <v>40</v>
      </c>
      <c r="T65" s="14" t="s">
        <v>204</v>
      </c>
    </row>
    <row r="66" spans="1:20" ht="19.5" customHeight="1" x14ac:dyDescent="0.25">
      <c r="A66" s="42" t="s">
        <v>63</v>
      </c>
      <c r="B66" s="40"/>
    </row>
    <row r="67" spans="1:20" ht="18" customHeight="1" x14ac:dyDescent="0.25">
      <c r="A67" s="41" t="s">
        <v>64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40"/>
    </row>
    <row r="68" spans="1:20" ht="15.75" customHeight="1" x14ac:dyDescent="0.25">
      <c r="A68" s="1"/>
      <c r="B68" s="1"/>
    </row>
    <row r="69" spans="1:20" ht="15.75" customHeight="1" x14ac:dyDescent="0.25">
      <c r="A69" s="3" t="s">
        <v>2</v>
      </c>
      <c r="B69" s="45">
        <v>46057</v>
      </c>
      <c r="C69" s="5" t="s">
        <v>3</v>
      </c>
      <c r="D69" s="6"/>
      <c r="E69" s="5" t="s">
        <v>4</v>
      </c>
      <c r="F69" s="6"/>
      <c r="G69" s="5" t="s">
        <v>5</v>
      </c>
      <c r="H69" s="6" t="s">
        <v>65</v>
      </c>
      <c r="I69" s="5" t="s">
        <v>6</v>
      </c>
      <c r="J69" s="6">
        <v>2</v>
      </c>
      <c r="K69" s="5" t="s">
        <v>7</v>
      </c>
      <c r="L69" s="6"/>
      <c r="M69" s="5" t="s">
        <v>8</v>
      </c>
      <c r="N69" s="6"/>
      <c r="O69" s="5" t="s">
        <v>9</v>
      </c>
      <c r="P69" s="6"/>
    </row>
    <row r="70" spans="1:20" ht="26.25" customHeight="1" x14ac:dyDescent="0.25">
      <c r="A70" s="15" t="s">
        <v>66</v>
      </c>
      <c r="B70" s="9" t="s">
        <v>11</v>
      </c>
      <c r="C70" s="9" t="s">
        <v>12</v>
      </c>
      <c r="D70" s="9" t="s">
        <v>13</v>
      </c>
      <c r="E70" s="9" t="s">
        <v>14</v>
      </c>
      <c r="F70" s="9" t="s">
        <v>15</v>
      </c>
      <c r="G70" s="9" t="s">
        <v>16</v>
      </c>
      <c r="H70" s="9" t="s">
        <v>17</v>
      </c>
      <c r="I70" s="9" t="s">
        <v>18</v>
      </c>
      <c r="J70" s="9" t="s">
        <v>19</v>
      </c>
      <c r="K70" s="9" t="s">
        <v>20</v>
      </c>
      <c r="L70" s="9" t="s">
        <v>21</v>
      </c>
      <c r="M70" s="9" t="s">
        <v>22</v>
      </c>
      <c r="N70" s="9" t="s">
        <v>23</v>
      </c>
      <c r="O70" s="9" t="s">
        <v>24</v>
      </c>
      <c r="P70" s="9" t="s">
        <v>25</v>
      </c>
      <c r="Q70" s="9" t="s">
        <v>26</v>
      </c>
      <c r="R70" s="9" t="s">
        <v>27</v>
      </c>
      <c r="S70" s="9" t="s">
        <v>28</v>
      </c>
      <c r="T70" s="9" t="s">
        <v>29</v>
      </c>
    </row>
    <row r="71" spans="1:20" ht="15.75" customHeight="1" x14ac:dyDescent="0.25">
      <c r="A71" s="10" t="s">
        <v>32</v>
      </c>
      <c r="B71" s="11" t="s">
        <v>33</v>
      </c>
      <c r="C71" s="2"/>
      <c r="D71" s="2"/>
      <c r="E71" s="12" t="str">
        <f t="shared" ref="E71:E85" si="18">IF(AND(ISNUMBER(C71),ISNUMBER(D71)),ROUND(C71*(1+D71/30),1),"—")</f>
        <v>—</v>
      </c>
      <c r="F71" s="2"/>
      <c r="G71" s="2"/>
      <c r="H71" s="12" t="str">
        <f t="shared" ref="H71:H85" si="19">IF(AND(ISNUMBER(F71),ISNUMBER(G71)),ROUND(F71*(1+G71/30),1),"—")</f>
        <v>—</v>
      </c>
      <c r="I71" s="2"/>
      <c r="J71" s="2"/>
      <c r="K71" s="12" t="str">
        <f t="shared" ref="K71:K85" si="20">IF(AND(ISNUMBER(I71),ISNUMBER(J71)),ROUND(I71*(1+J71/30),1),"—")</f>
        <v>—</v>
      </c>
      <c r="L71" s="2"/>
      <c r="M71" s="2"/>
      <c r="N71" s="12" t="str">
        <f t="shared" ref="N71:N85" si="21">IF(AND(ISNUMBER(L71),ISNUMBER(M71)),ROUND(L71*(1+M71/30),1),"—")</f>
        <v>—</v>
      </c>
      <c r="O71" s="2"/>
      <c r="P71" s="2"/>
      <c r="Q71" s="12" t="str">
        <f t="shared" ref="Q71:Q85" si="22">IF(AND(ISNUMBER(O71),ISNUMBER(P71)),ROUND(O71*(1+P71/30),1),"—")</f>
        <v>—</v>
      </c>
      <c r="R71" s="13">
        <f t="shared" ref="R71:R85" si="23">IFERROR(MAX(IFERROR(VALUE(E71),0),IFERROR(VALUE(H71),0),IFERROR(VALUE(K71),0),IFERROR(VALUE(N71),0),IFERROR(VALUE(Q71),0)),"—")</f>
        <v>0</v>
      </c>
      <c r="S71" s="14"/>
      <c r="T71" s="14"/>
    </row>
    <row r="72" spans="1:20" ht="15.75" customHeight="1" x14ac:dyDescent="0.25">
      <c r="A72" s="15" t="s">
        <v>67</v>
      </c>
      <c r="B72" s="16" t="s">
        <v>68</v>
      </c>
      <c r="C72" s="2"/>
      <c r="D72" s="2"/>
      <c r="E72" s="12" t="str">
        <f t="shared" si="18"/>
        <v>—</v>
      </c>
      <c r="F72" s="2"/>
      <c r="G72" s="2"/>
      <c r="H72" s="12" t="str">
        <f t="shared" si="19"/>
        <v>—</v>
      </c>
      <c r="I72" s="2"/>
      <c r="J72" s="2"/>
      <c r="K72" s="12" t="str">
        <f t="shared" si="20"/>
        <v>—</v>
      </c>
      <c r="L72" s="2"/>
      <c r="M72" s="2"/>
      <c r="N72" s="12" t="str">
        <f t="shared" si="21"/>
        <v>—</v>
      </c>
      <c r="O72" s="2"/>
      <c r="P72" s="2"/>
      <c r="Q72" s="12" t="str">
        <f t="shared" si="22"/>
        <v>—</v>
      </c>
      <c r="R72" s="13">
        <f t="shared" si="23"/>
        <v>0</v>
      </c>
      <c r="S72" s="14"/>
      <c r="T72" s="14"/>
    </row>
    <row r="73" spans="1:20" ht="15.75" customHeight="1" x14ac:dyDescent="0.25">
      <c r="A73" s="10" t="s">
        <v>69</v>
      </c>
      <c r="B73" s="11" t="s">
        <v>70</v>
      </c>
      <c r="C73" s="2"/>
      <c r="D73" s="2"/>
      <c r="E73" s="12" t="str">
        <f t="shared" si="18"/>
        <v>—</v>
      </c>
      <c r="F73" s="2"/>
      <c r="G73" s="2"/>
      <c r="H73" s="12" t="str">
        <f t="shared" si="19"/>
        <v>—</v>
      </c>
      <c r="I73" s="2"/>
      <c r="J73" s="2"/>
      <c r="K73" s="12" t="str">
        <f t="shared" si="20"/>
        <v>—</v>
      </c>
      <c r="L73" s="2"/>
      <c r="M73" s="2"/>
      <c r="N73" s="12" t="str">
        <f t="shared" si="21"/>
        <v>—</v>
      </c>
      <c r="O73" s="2"/>
      <c r="P73" s="2"/>
      <c r="Q73" s="12" t="str">
        <f t="shared" si="22"/>
        <v>—</v>
      </c>
      <c r="R73" s="13">
        <f t="shared" si="23"/>
        <v>0</v>
      </c>
      <c r="S73" s="14"/>
      <c r="T73" s="14"/>
    </row>
    <row r="74" spans="1:20" ht="15.75" customHeight="1" x14ac:dyDescent="0.25">
      <c r="A74" s="15" t="s">
        <v>71</v>
      </c>
      <c r="B74" s="16" t="s">
        <v>72</v>
      </c>
      <c r="C74" s="2">
        <v>2.5</v>
      </c>
      <c r="D74" s="2">
        <v>20</v>
      </c>
      <c r="E74" s="12">
        <f t="shared" si="18"/>
        <v>4.2</v>
      </c>
      <c r="F74" s="2"/>
      <c r="G74" s="2"/>
      <c r="H74" s="12" t="str">
        <f t="shared" si="19"/>
        <v>—</v>
      </c>
      <c r="I74" s="2"/>
      <c r="J74" s="2"/>
      <c r="K74" s="12" t="str">
        <f t="shared" si="20"/>
        <v>—</v>
      </c>
      <c r="L74" s="2"/>
      <c r="M74" s="2"/>
      <c r="N74" s="12" t="str">
        <f t="shared" si="21"/>
        <v>—</v>
      </c>
      <c r="O74" s="2"/>
      <c r="P74" s="2"/>
      <c r="Q74" s="12" t="str">
        <f t="shared" si="22"/>
        <v>—</v>
      </c>
      <c r="R74" s="13">
        <f t="shared" si="23"/>
        <v>4.2</v>
      </c>
      <c r="S74" s="14"/>
      <c r="T74" s="14"/>
    </row>
    <row r="75" spans="1:20" ht="15.75" customHeight="1" x14ac:dyDescent="0.25">
      <c r="A75" s="10" t="s">
        <v>73</v>
      </c>
      <c r="B75" s="11" t="s">
        <v>74</v>
      </c>
      <c r="C75" s="2">
        <v>5</v>
      </c>
      <c r="D75" s="2">
        <v>15</v>
      </c>
      <c r="E75" s="12">
        <f t="shared" si="18"/>
        <v>7.5</v>
      </c>
      <c r="F75" s="2">
        <v>7.5</v>
      </c>
      <c r="G75" s="2">
        <v>12</v>
      </c>
      <c r="H75" s="12">
        <f t="shared" si="19"/>
        <v>10.5</v>
      </c>
      <c r="I75" s="2">
        <v>10</v>
      </c>
      <c r="J75" s="2">
        <v>9</v>
      </c>
      <c r="K75" s="12">
        <f t="shared" si="20"/>
        <v>13</v>
      </c>
      <c r="L75" s="2"/>
      <c r="M75" s="2"/>
      <c r="N75" s="12" t="str">
        <f t="shared" si="21"/>
        <v>—</v>
      </c>
      <c r="O75" s="2"/>
      <c r="P75" s="2"/>
      <c r="Q75" s="12" t="str">
        <f t="shared" si="22"/>
        <v>—</v>
      </c>
      <c r="R75" s="13">
        <f t="shared" si="23"/>
        <v>13</v>
      </c>
      <c r="S75" s="14" t="s">
        <v>40</v>
      </c>
      <c r="T75" s="14" t="s">
        <v>75</v>
      </c>
    </row>
    <row r="76" spans="1:20" ht="15.75" customHeight="1" x14ac:dyDescent="0.25">
      <c r="A76" s="15" t="s">
        <v>76</v>
      </c>
      <c r="B76" s="16" t="s">
        <v>77</v>
      </c>
      <c r="C76" s="2">
        <v>7.5</v>
      </c>
      <c r="D76" s="2">
        <v>10</v>
      </c>
      <c r="E76" s="12">
        <f t="shared" si="18"/>
        <v>10</v>
      </c>
      <c r="F76" s="2">
        <v>10</v>
      </c>
      <c r="G76" s="2">
        <v>7</v>
      </c>
      <c r="H76" s="12">
        <f t="shared" si="19"/>
        <v>12.3</v>
      </c>
      <c r="I76" s="2">
        <v>10</v>
      </c>
      <c r="J76" s="2">
        <v>8</v>
      </c>
      <c r="K76" s="12">
        <f t="shared" si="20"/>
        <v>12.7</v>
      </c>
      <c r="L76" s="2"/>
      <c r="M76" s="2"/>
      <c r="N76" s="12" t="str">
        <f t="shared" si="21"/>
        <v>—</v>
      </c>
      <c r="O76" s="2"/>
      <c r="P76" s="2"/>
      <c r="Q76" s="12" t="str">
        <f t="shared" si="22"/>
        <v>—</v>
      </c>
      <c r="R76" s="13">
        <f t="shared" si="23"/>
        <v>12.7</v>
      </c>
      <c r="S76" s="14"/>
      <c r="T76" s="14"/>
    </row>
    <row r="77" spans="1:20" ht="15.75" customHeight="1" x14ac:dyDescent="0.25">
      <c r="A77" s="10" t="s">
        <v>78</v>
      </c>
      <c r="B77" s="11" t="s">
        <v>79</v>
      </c>
      <c r="C77" s="2">
        <v>7.5</v>
      </c>
      <c r="D77" s="2">
        <v>7</v>
      </c>
      <c r="E77" s="12">
        <f t="shared" si="18"/>
        <v>9.3000000000000007</v>
      </c>
      <c r="F77" s="2">
        <v>7.5</v>
      </c>
      <c r="G77" s="2">
        <v>7</v>
      </c>
      <c r="H77" s="12">
        <f t="shared" si="19"/>
        <v>9.3000000000000007</v>
      </c>
      <c r="I77" s="2">
        <v>7.5</v>
      </c>
      <c r="J77" s="2">
        <v>6</v>
      </c>
      <c r="K77" s="12">
        <f t="shared" si="20"/>
        <v>9</v>
      </c>
      <c r="L77" s="2"/>
      <c r="M77" s="2"/>
      <c r="N77" s="12" t="str">
        <f t="shared" si="21"/>
        <v>—</v>
      </c>
      <c r="O77" s="2"/>
      <c r="P77" s="2"/>
      <c r="Q77" s="12" t="str">
        <f t="shared" si="22"/>
        <v>—</v>
      </c>
      <c r="R77" s="13">
        <f t="shared" si="23"/>
        <v>9.3000000000000007</v>
      </c>
      <c r="S77" s="14" t="s">
        <v>40</v>
      </c>
      <c r="T77" s="14" t="s">
        <v>80</v>
      </c>
    </row>
    <row r="78" spans="1:20" ht="15.75" customHeight="1" x14ac:dyDescent="0.25">
      <c r="A78" s="15" t="s">
        <v>81</v>
      </c>
      <c r="B78" s="16" t="s">
        <v>82</v>
      </c>
      <c r="C78" s="2"/>
      <c r="D78" s="2">
        <v>4</v>
      </c>
      <c r="E78" s="12" t="str">
        <f t="shared" si="18"/>
        <v>—</v>
      </c>
      <c r="F78" s="2"/>
      <c r="G78" s="2">
        <v>3</v>
      </c>
      <c r="H78" s="12" t="str">
        <f t="shared" si="19"/>
        <v>—</v>
      </c>
      <c r="I78" s="2"/>
      <c r="J78" s="2">
        <v>3</v>
      </c>
      <c r="K78" s="12" t="str">
        <f t="shared" si="20"/>
        <v>—</v>
      </c>
      <c r="L78" s="2"/>
      <c r="M78" s="2"/>
      <c r="N78" s="12" t="str">
        <f t="shared" si="21"/>
        <v>—</v>
      </c>
      <c r="O78" s="2"/>
      <c r="P78" s="2"/>
      <c r="Q78" s="12" t="str">
        <f t="shared" si="22"/>
        <v>—</v>
      </c>
      <c r="R78" s="13">
        <f t="shared" si="23"/>
        <v>0</v>
      </c>
      <c r="S78" s="14" t="s">
        <v>40</v>
      </c>
      <c r="T78" s="14" t="s">
        <v>41</v>
      </c>
    </row>
    <row r="79" spans="1:20" ht="15.75" customHeight="1" x14ac:dyDescent="0.25">
      <c r="A79" s="10" t="s">
        <v>83</v>
      </c>
      <c r="B79" s="11" t="s">
        <v>84</v>
      </c>
      <c r="C79" s="2">
        <v>7.5</v>
      </c>
      <c r="D79" s="2">
        <v>20</v>
      </c>
      <c r="E79" s="12">
        <f t="shared" si="18"/>
        <v>12.5</v>
      </c>
      <c r="F79" s="2">
        <v>10</v>
      </c>
      <c r="G79" s="2">
        <v>17</v>
      </c>
      <c r="H79" s="12">
        <f t="shared" si="19"/>
        <v>15.7</v>
      </c>
      <c r="I79" s="2">
        <v>10</v>
      </c>
      <c r="J79" s="2">
        <v>20</v>
      </c>
      <c r="K79" s="12">
        <f t="shared" si="20"/>
        <v>16.7</v>
      </c>
      <c r="L79" s="2"/>
      <c r="M79" s="2"/>
      <c r="N79" s="12" t="str">
        <f t="shared" si="21"/>
        <v>—</v>
      </c>
      <c r="O79" s="2"/>
      <c r="P79" s="2"/>
      <c r="Q79" s="12" t="str">
        <f t="shared" si="22"/>
        <v>—</v>
      </c>
      <c r="R79" s="13">
        <f t="shared" si="23"/>
        <v>16.7</v>
      </c>
      <c r="S79" s="14" t="s">
        <v>40</v>
      </c>
      <c r="T79" s="14" t="s">
        <v>41</v>
      </c>
    </row>
    <row r="80" spans="1:20" ht="15.75" customHeight="1" x14ac:dyDescent="0.25">
      <c r="A80" s="15" t="s">
        <v>85</v>
      </c>
      <c r="B80" s="16" t="s">
        <v>86</v>
      </c>
      <c r="C80" s="2">
        <v>15</v>
      </c>
      <c r="D80" s="2">
        <v>10</v>
      </c>
      <c r="E80" s="12">
        <f t="shared" si="18"/>
        <v>20</v>
      </c>
      <c r="F80" s="2">
        <v>15</v>
      </c>
      <c r="G80" s="2">
        <v>10</v>
      </c>
      <c r="H80" s="12">
        <f t="shared" si="19"/>
        <v>20</v>
      </c>
      <c r="I80" s="2">
        <v>15</v>
      </c>
      <c r="J80" s="2">
        <v>6</v>
      </c>
      <c r="K80" s="12">
        <f t="shared" si="20"/>
        <v>18</v>
      </c>
      <c r="L80" s="2"/>
      <c r="M80" s="2"/>
      <c r="N80" s="12" t="str">
        <f t="shared" si="21"/>
        <v>—</v>
      </c>
      <c r="O80" s="2"/>
      <c r="P80" s="2"/>
      <c r="Q80" s="12" t="str">
        <f t="shared" si="22"/>
        <v>—</v>
      </c>
      <c r="R80" s="13">
        <f t="shared" si="23"/>
        <v>20</v>
      </c>
      <c r="S80" s="14" t="s">
        <v>40</v>
      </c>
      <c r="T80" s="14" t="s">
        <v>44</v>
      </c>
    </row>
    <row r="81" spans="1:20" ht="15.75" customHeight="1" x14ac:dyDescent="0.25">
      <c r="A81" s="10" t="s">
        <v>87</v>
      </c>
      <c r="B81" s="11" t="s">
        <v>88</v>
      </c>
      <c r="C81" s="2"/>
      <c r="D81" s="2">
        <v>4</v>
      </c>
      <c r="E81" s="12" t="str">
        <f t="shared" si="18"/>
        <v>—</v>
      </c>
      <c r="F81" s="2"/>
      <c r="G81" s="2">
        <v>2</v>
      </c>
      <c r="H81" s="12" t="str">
        <f t="shared" si="19"/>
        <v>—</v>
      </c>
      <c r="I81" s="2"/>
      <c r="J81" s="2"/>
      <c r="K81" s="12" t="str">
        <f t="shared" si="20"/>
        <v>—</v>
      </c>
      <c r="L81" s="2"/>
      <c r="M81" s="2"/>
      <c r="N81" s="12" t="str">
        <f t="shared" si="21"/>
        <v>—</v>
      </c>
      <c r="O81" s="2"/>
      <c r="P81" s="2"/>
      <c r="Q81" s="12" t="str">
        <f t="shared" si="22"/>
        <v>—</v>
      </c>
      <c r="R81" s="13">
        <f t="shared" si="23"/>
        <v>0</v>
      </c>
      <c r="S81" s="14" t="s">
        <v>40</v>
      </c>
      <c r="T81" s="14" t="s">
        <v>44</v>
      </c>
    </row>
    <row r="82" spans="1:20" ht="15.75" customHeight="1" x14ac:dyDescent="0.25">
      <c r="A82" s="15" t="s">
        <v>89</v>
      </c>
      <c r="B82" s="16" t="s">
        <v>90</v>
      </c>
      <c r="C82" s="2"/>
      <c r="D82" s="2"/>
      <c r="E82" s="12" t="str">
        <f t="shared" si="18"/>
        <v>—</v>
      </c>
      <c r="F82" s="2"/>
      <c r="G82" s="2"/>
      <c r="H82" s="12" t="str">
        <f t="shared" si="19"/>
        <v>—</v>
      </c>
      <c r="I82" s="2"/>
      <c r="J82" s="2"/>
      <c r="K82" s="12" t="str">
        <f t="shared" si="20"/>
        <v>—</v>
      </c>
      <c r="L82" s="2"/>
      <c r="M82" s="2"/>
      <c r="N82" s="12" t="str">
        <f t="shared" si="21"/>
        <v>—</v>
      </c>
      <c r="O82" s="2"/>
      <c r="P82" s="2"/>
      <c r="Q82" s="12" t="str">
        <f t="shared" si="22"/>
        <v>—</v>
      </c>
      <c r="R82" s="13">
        <f t="shared" si="23"/>
        <v>0</v>
      </c>
      <c r="S82" s="14" t="s">
        <v>55</v>
      </c>
      <c r="T82" s="14" t="s">
        <v>44</v>
      </c>
    </row>
    <row r="83" spans="1:20" ht="15.75" customHeight="1" x14ac:dyDescent="0.25">
      <c r="A83" s="10" t="s">
        <v>91</v>
      </c>
      <c r="B83" s="11" t="s">
        <v>92</v>
      </c>
      <c r="C83" s="2"/>
      <c r="D83" s="2"/>
      <c r="E83" s="12" t="str">
        <f t="shared" si="18"/>
        <v>—</v>
      </c>
      <c r="F83" s="2"/>
      <c r="G83" s="2"/>
      <c r="H83" s="12" t="str">
        <f t="shared" si="19"/>
        <v>—</v>
      </c>
      <c r="I83" s="2"/>
      <c r="J83" s="2"/>
      <c r="K83" s="12" t="str">
        <f t="shared" si="20"/>
        <v>—</v>
      </c>
      <c r="L83" s="2"/>
      <c r="M83" s="2"/>
      <c r="N83" s="12" t="str">
        <f t="shared" si="21"/>
        <v>—</v>
      </c>
      <c r="O83" s="2"/>
      <c r="P83" s="2"/>
      <c r="Q83" s="12" t="str">
        <f t="shared" si="22"/>
        <v>—</v>
      </c>
      <c r="R83" s="13">
        <f t="shared" si="23"/>
        <v>0</v>
      </c>
      <c r="S83" s="14"/>
      <c r="T83" s="14"/>
    </row>
    <row r="84" spans="1:20" ht="15.75" customHeight="1" x14ac:dyDescent="0.25">
      <c r="A84" s="15" t="s">
        <v>93</v>
      </c>
      <c r="B84" s="16" t="s">
        <v>92</v>
      </c>
      <c r="C84" s="2"/>
      <c r="D84" s="2"/>
      <c r="E84" s="12" t="str">
        <f t="shared" si="18"/>
        <v>—</v>
      </c>
      <c r="F84" s="2"/>
      <c r="G84" s="2"/>
      <c r="H84" s="12" t="str">
        <f t="shared" si="19"/>
        <v>—</v>
      </c>
      <c r="I84" s="2"/>
      <c r="J84" s="2"/>
      <c r="K84" s="12" t="str">
        <f t="shared" si="20"/>
        <v>—</v>
      </c>
      <c r="L84" s="2"/>
      <c r="M84" s="2"/>
      <c r="N84" s="12" t="str">
        <f t="shared" si="21"/>
        <v>—</v>
      </c>
      <c r="O84" s="2"/>
      <c r="P84" s="2"/>
      <c r="Q84" s="12" t="str">
        <f t="shared" si="22"/>
        <v>—</v>
      </c>
      <c r="R84" s="13">
        <f t="shared" si="23"/>
        <v>0</v>
      </c>
      <c r="S84" s="14"/>
      <c r="T84" s="14"/>
    </row>
    <row r="85" spans="1:20" ht="15.75" customHeight="1" x14ac:dyDescent="0.25">
      <c r="A85" s="10" t="s">
        <v>94</v>
      </c>
      <c r="B85" s="11" t="s">
        <v>95</v>
      </c>
      <c r="C85" s="2"/>
      <c r="D85" s="2"/>
      <c r="E85" s="12" t="str">
        <f t="shared" si="18"/>
        <v>—</v>
      </c>
      <c r="F85" s="2"/>
      <c r="G85" s="2"/>
      <c r="H85" s="12" t="str">
        <f t="shared" si="19"/>
        <v>—</v>
      </c>
      <c r="I85" s="2"/>
      <c r="J85" s="2"/>
      <c r="K85" s="12" t="str">
        <f t="shared" si="20"/>
        <v>—</v>
      </c>
      <c r="L85" s="2"/>
      <c r="M85" s="2"/>
      <c r="N85" s="12" t="str">
        <f t="shared" si="21"/>
        <v>—</v>
      </c>
      <c r="O85" s="2"/>
      <c r="P85" s="2"/>
      <c r="Q85" s="12" t="str">
        <f t="shared" si="22"/>
        <v>—</v>
      </c>
      <c r="R85" s="13">
        <f t="shared" si="23"/>
        <v>0</v>
      </c>
      <c r="S85" s="14"/>
      <c r="T85" s="14"/>
    </row>
    <row r="86" spans="1:20" ht="15.75" customHeight="1" x14ac:dyDescent="0.25">
      <c r="A86" s="42" t="s">
        <v>63</v>
      </c>
      <c r="B86" s="40"/>
    </row>
    <row r="87" spans="1:20" ht="15.75" customHeight="1" x14ac:dyDescent="0.25">
      <c r="A87" s="41" t="s">
        <v>64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40"/>
    </row>
    <row r="88" spans="1:20" ht="15.75" customHeight="1" x14ac:dyDescent="0.25">
      <c r="A88" s="17" t="s">
        <v>2</v>
      </c>
      <c r="B88" s="18"/>
      <c r="C88" s="19" t="s">
        <v>3</v>
      </c>
      <c r="D88" s="20"/>
      <c r="E88" s="19" t="s">
        <v>4</v>
      </c>
      <c r="F88" s="20"/>
      <c r="G88" s="19" t="s">
        <v>5</v>
      </c>
      <c r="H88" s="20" t="s">
        <v>136</v>
      </c>
      <c r="I88" s="19" t="s">
        <v>6</v>
      </c>
      <c r="J88" s="20"/>
      <c r="K88" s="19" t="s">
        <v>7</v>
      </c>
      <c r="L88" s="20"/>
      <c r="M88" s="19" t="s">
        <v>8</v>
      </c>
      <c r="N88" s="20"/>
      <c r="O88" s="19" t="s">
        <v>9</v>
      </c>
      <c r="P88" s="20"/>
    </row>
    <row r="89" spans="1:20" ht="15.75" customHeight="1" x14ac:dyDescent="0.25">
      <c r="A89" s="21" t="s">
        <v>137</v>
      </c>
      <c r="B89" s="21" t="s">
        <v>11</v>
      </c>
      <c r="C89" s="22" t="s">
        <v>12</v>
      </c>
      <c r="D89" s="22" t="s">
        <v>13</v>
      </c>
      <c r="E89" s="22" t="s">
        <v>14</v>
      </c>
      <c r="F89" s="22" t="s">
        <v>15</v>
      </c>
      <c r="G89" s="22" t="s">
        <v>16</v>
      </c>
      <c r="H89" s="22" t="s">
        <v>17</v>
      </c>
      <c r="I89" s="22" t="s">
        <v>18</v>
      </c>
      <c r="J89" s="22" t="s">
        <v>19</v>
      </c>
      <c r="K89" s="22" t="s">
        <v>20</v>
      </c>
      <c r="L89" s="22" t="s">
        <v>21</v>
      </c>
      <c r="M89" s="22" t="s">
        <v>22</v>
      </c>
      <c r="N89" s="22" t="s">
        <v>23</v>
      </c>
      <c r="O89" s="22" t="s">
        <v>24</v>
      </c>
      <c r="P89" s="22" t="s">
        <v>25</v>
      </c>
      <c r="Q89" s="22" t="s">
        <v>26</v>
      </c>
      <c r="R89" s="22" t="s">
        <v>27</v>
      </c>
      <c r="S89" s="22" t="s">
        <v>28</v>
      </c>
      <c r="T89" s="22" t="s">
        <v>29</v>
      </c>
    </row>
    <row r="90" spans="1:20" ht="15.75" customHeight="1" x14ac:dyDescent="0.25">
      <c r="A90" s="23" t="s">
        <v>138</v>
      </c>
      <c r="B90" s="24" t="s">
        <v>139</v>
      </c>
      <c r="C90" s="2"/>
      <c r="D90" s="2">
        <v>15</v>
      </c>
      <c r="E90" s="12" t="str">
        <f t="shared" ref="E90:E100" si="24">IF(AND(ISNUMBER(C90),ISNUMBER(D90)),ROUND(C90*(1+D90/30),1),"—")</f>
        <v>—</v>
      </c>
      <c r="F90" s="2"/>
      <c r="G90" s="2"/>
      <c r="H90" s="12" t="str">
        <f t="shared" ref="H90:H100" si="25">IF(AND(ISNUMBER(F90),ISNUMBER(G90)),ROUND(F90*(1+G90/30),1),"—")</f>
        <v>—</v>
      </c>
      <c r="I90" s="2"/>
      <c r="J90" s="2"/>
      <c r="K90" s="12" t="str">
        <f t="shared" ref="K90:K100" si="26">IF(AND(ISNUMBER(I90),ISNUMBER(J90)),ROUND(I90*(1+J90/30),1),"—")</f>
        <v>—</v>
      </c>
      <c r="L90" s="2"/>
      <c r="M90" s="2"/>
      <c r="N90" s="12" t="str">
        <f t="shared" ref="N90:N100" si="27">IF(AND(ISNUMBER(L90),ISNUMBER(M90)),ROUND(L90*(1+M90/30),1),"—")</f>
        <v>—</v>
      </c>
      <c r="O90" s="2"/>
      <c r="P90" s="2"/>
      <c r="Q90" s="12" t="str">
        <f t="shared" ref="Q90:Q100" si="28">IF(AND(ISNUMBER(O90),ISNUMBER(P90)),ROUND(O90*(1+P90/30),1),"—")</f>
        <v>—</v>
      </c>
      <c r="R90" s="25">
        <f t="shared" ref="R90:R100" si="29">IFERROR(MAX(IFERROR(VALUE(E90),0),IFERROR(VALUE(H90),0),IFERROR(VALUE(K90),0),IFERROR(VALUE(N90),0),IFERROR(VALUE(Q90),0)),"—")</f>
        <v>0</v>
      </c>
      <c r="S90" s="14"/>
      <c r="T90" s="14"/>
    </row>
    <row r="91" spans="1:20" ht="15.75" customHeight="1" x14ac:dyDescent="0.25">
      <c r="A91" s="26" t="s">
        <v>140</v>
      </c>
      <c r="B91" s="16" t="s">
        <v>141</v>
      </c>
      <c r="C91" s="2"/>
      <c r="D91" s="2">
        <v>10</v>
      </c>
      <c r="E91" s="12" t="str">
        <f t="shared" si="24"/>
        <v>—</v>
      </c>
      <c r="F91" s="2"/>
      <c r="G91" s="2"/>
      <c r="H91" s="12" t="str">
        <f t="shared" si="25"/>
        <v>—</v>
      </c>
      <c r="I91" s="2"/>
      <c r="J91" s="2"/>
      <c r="K91" s="12" t="str">
        <f t="shared" si="26"/>
        <v>—</v>
      </c>
      <c r="L91" s="2"/>
      <c r="M91" s="2"/>
      <c r="N91" s="12" t="str">
        <f t="shared" si="27"/>
        <v>—</v>
      </c>
      <c r="O91" s="2"/>
      <c r="P91" s="2"/>
      <c r="Q91" s="12" t="str">
        <f t="shared" si="28"/>
        <v>—</v>
      </c>
      <c r="R91" s="25">
        <f t="shared" si="29"/>
        <v>0</v>
      </c>
      <c r="S91" s="14"/>
      <c r="T91" s="14"/>
    </row>
    <row r="92" spans="1:20" ht="15.75" customHeight="1" x14ac:dyDescent="0.25">
      <c r="A92" s="23" t="s">
        <v>142</v>
      </c>
      <c r="B92" s="24" t="s">
        <v>143</v>
      </c>
      <c r="C92" s="2"/>
      <c r="D92" s="2"/>
      <c r="E92" s="12" t="str">
        <f t="shared" si="24"/>
        <v>—</v>
      </c>
      <c r="F92" s="2"/>
      <c r="G92" s="2"/>
      <c r="H92" s="12" t="str">
        <f t="shared" si="25"/>
        <v>—</v>
      </c>
      <c r="I92" s="2"/>
      <c r="J92" s="2"/>
      <c r="K92" s="12" t="str">
        <f t="shared" si="26"/>
        <v>—</v>
      </c>
      <c r="L92" s="2"/>
      <c r="M92" s="2"/>
      <c r="N92" s="12" t="str">
        <f t="shared" si="27"/>
        <v>—</v>
      </c>
      <c r="O92" s="2"/>
      <c r="P92" s="2"/>
      <c r="Q92" s="12" t="str">
        <f t="shared" si="28"/>
        <v>—</v>
      </c>
      <c r="R92" s="25">
        <f t="shared" si="29"/>
        <v>0</v>
      </c>
      <c r="S92" s="14"/>
      <c r="T92" s="14"/>
    </row>
    <row r="93" spans="1:20" ht="20.25" customHeight="1" x14ac:dyDescent="0.25">
      <c r="A93" s="26" t="s">
        <v>144</v>
      </c>
      <c r="B93" s="16" t="s">
        <v>145</v>
      </c>
      <c r="C93" s="2"/>
      <c r="D93" s="2">
        <v>8</v>
      </c>
      <c r="E93" s="12" t="str">
        <f t="shared" si="24"/>
        <v>—</v>
      </c>
      <c r="F93" s="2"/>
      <c r="G93" s="2"/>
      <c r="H93" s="12" t="str">
        <f t="shared" si="25"/>
        <v>—</v>
      </c>
      <c r="I93" s="2"/>
      <c r="J93" s="2"/>
      <c r="K93" s="12" t="str">
        <f t="shared" si="26"/>
        <v>—</v>
      </c>
      <c r="L93" s="2"/>
      <c r="M93" s="2"/>
      <c r="N93" s="12" t="str">
        <f t="shared" si="27"/>
        <v>—</v>
      </c>
      <c r="O93" s="2"/>
      <c r="P93" s="2"/>
      <c r="Q93" s="12" t="str">
        <f t="shared" si="28"/>
        <v>—</v>
      </c>
      <c r="R93" s="25">
        <f t="shared" si="29"/>
        <v>0</v>
      </c>
      <c r="S93" s="14"/>
      <c r="T93" s="14"/>
    </row>
    <row r="94" spans="1:20" ht="15.75" customHeight="1" x14ac:dyDescent="0.25">
      <c r="A94" s="23" t="s">
        <v>146</v>
      </c>
      <c r="B94" s="24" t="s">
        <v>147</v>
      </c>
      <c r="C94" s="2"/>
      <c r="D94" s="2">
        <v>2</v>
      </c>
      <c r="E94" s="12" t="str">
        <f t="shared" si="24"/>
        <v>—</v>
      </c>
      <c r="F94" s="2"/>
      <c r="G94" s="2">
        <v>2</v>
      </c>
      <c r="H94" s="12" t="str">
        <f t="shared" si="25"/>
        <v>—</v>
      </c>
      <c r="I94" s="2"/>
      <c r="J94" s="2">
        <v>2</v>
      </c>
      <c r="K94" s="12" t="str">
        <f t="shared" si="26"/>
        <v>—</v>
      </c>
      <c r="L94" s="2"/>
      <c r="M94" s="2"/>
      <c r="N94" s="12" t="str">
        <f t="shared" si="27"/>
        <v>—</v>
      </c>
      <c r="O94" s="2"/>
      <c r="P94" s="2"/>
      <c r="Q94" s="12" t="str">
        <f t="shared" si="28"/>
        <v>—</v>
      </c>
      <c r="R94" s="25">
        <f t="shared" si="29"/>
        <v>0</v>
      </c>
      <c r="S94" s="14" t="s">
        <v>40</v>
      </c>
      <c r="T94" s="14" t="s">
        <v>115</v>
      </c>
    </row>
    <row r="95" spans="1:20" ht="15.75" customHeight="1" x14ac:dyDescent="0.25">
      <c r="A95" s="26" t="s">
        <v>148</v>
      </c>
      <c r="B95" s="16" t="s">
        <v>149</v>
      </c>
      <c r="C95" s="2"/>
      <c r="D95" s="2"/>
      <c r="E95" s="12" t="str">
        <f t="shared" si="24"/>
        <v>—</v>
      </c>
      <c r="F95" s="2"/>
      <c r="G95" s="2"/>
      <c r="H95" s="12" t="str">
        <f t="shared" si="25"/>
        <v>—</v>
      </c>
      <c r="I95" s="2"/>
      <c r="J95" s="2"/>
      <c r="K95" s="12" t="str">
        <f t="shared" si="26"/>
        <v>—</v>
      </c>
      <c r="L95" s="2"/>
      <c r="M95" s="2"/>
      <c r="N95" s="12" t="str">
        <f t="shared" si="27"/>
        <v>—</v>
      </c>
      <c r="O95" s="2"/>
      <c r="P95" s="2"/>
      <c r="Q95" s="12" t="str">
        <f t="shared" si="28"/>
        <v>—</v>
      </c>
      <c r="R95" s="25">
        <f t="shared" si="29"/>
        <v>0</v>
      </c>
      <c r="S95" s="14" t="s">
        <v>40</v>
      </c>
      <c r="T95" s="14" t="s">
        <v>103</v>
      </c>
    </row>
    <row r="96" spans="1:20" ht="15.75" customHeight="1" x14ac:dyDescent="0.25">
      <c r="A96" s="23" t="s">
        <v>150</v>
      </c>
      <c r="B96" s="24" t="s">
        <v>151</v>
      </c>
      <c r="C96" s="2">
        <v>10</v>
      </c>
      <c r="D96" s="2">
        <v>15</v>
      </c>
      <c r="E96" s="12">
        <f t="shared" si="24"/>
        <v>15</v>
      </c>
      <c r="F96" s="2">
        <v>10</v>
      </c>
      <c r="G96" s="2">
        <v>15</v>
      </c>
      <c r="H96" s="12">
        <f t="shared" si="25"/>
        <v>15</v>
      </c>
      <c r="I96" s="2">
        <v>10</v>
      </c>
      <c r="J96" s="2">
        <v>15</v>
      </c>
      <c r="K96" s="12">
        <f t="shared" si="26"/>
        <v>15</v>
      </c>
      <c r="L96" s="2"/>
      <c r="M96" s="2"/>
      <c r="N96" s="12" t="str">
        <f t="shared" si="27"/>
        <v>—</v>
      </c>
      <c r="O96" s="2"/>
      <c r="P96" s="2"/>
      <c r="Q96" s="12" t="str">
        <f t="shared" si="28"/>
        <v>—</v>
      </c>
      <c r="R96" s="25">
        <f t="shared" si="29"/>
        <v>15</v>
      </c>
      <c r="S96" s="14" t="s">
        <v>40</v>
      </c>
      <c r="T96" s="14" t="s">
        <v>103</v>
      </c>
    </row>
    <row r="97" spans="1:20" ht="15.75" customHeight="1" x14ac:dyDescent="0.25">
      <c r="A97" s="26" t="s">
        <v>152</v>
      </c>
      <c r="B97" s="16" t="s">
        <v>153</v>
      </c>
      <c r="C97" s="2">
        <v>10</v>
      </c>
      <c r="D97" s="2">
        <v>15</v>
      </c>
      <c r="E97" s="12">
        <f t="shared" si="24"/>
        <v>15</v>
      </c>
      <c r="F97" s="2">
        <v>10</v>
      </c>
      <c r="G97" s="2">
        <v>15</v>
      </c>
      <c r="H97" s="12">
        <f t="shared" si="25"/>
        <v>15</v>
      </c>
      <c r="I97" s="2">
        <v>10</v>
      </c>
      <c r="J97" s="2">
        <v>15</v>
      </c>
      <c r="K97" s="12">
        <f t="shared" si="26"/>
        <v>15</v>
      </c>
      <c r="L97" s="2"/>
      <c r="M97" s="2"/>
      <c r="N97" s="12" t="str">
        <f t="shared" si="27"/>
        <v>—</v>
      </c>
      <c r="O97" s="2"/>
      <c r="P97" s="2"/>
      <c r="Q97" s="12" t="str">
        <f t="shared" si="28"/>
        <v>—</v>
      </c>
      <c r="R97" s="25">
        <f t="shared" si="29"/>
        <v>15</v>
      </c>
      <c r="S97" s="14" t="s">
        <v>40</v>
      </c>
      <c r="T97" s="14" t="s">
        <v>103</v>
      </c>
    </row>
    <row r="98" spans="1:20" ht="15.75" customHeight="1" x14ac:dyDescent="0.25">
      <c r="A98" s="23" t="s">
        <v>154</v>
      </c>
      <c r="B98" s="24" t="s">
        <v>155</v>
      </c>
      <c r="C98" s="2"/>
      <c r="D98" s="2"/>
      <c r="E98" s="12" t="str">
        <f t="shared" si="24"/>
        <v>—</v>
      </c>
      <c r="F98" s="2"/>
      <c r="G98" s="2"/>
      <c r="H98" s="12" t="str">
        <f t="shared" si="25"/>
        <v>—</v>
      </c>
      <c r="I98" s="2"/>
      <c r="J98" s="2"/>
      <c r="K98" s="12" t="str">
        <f t="shared" si="26"/>
        <v>—</v>
      </c>
      <c r="L98" s="2"/>
      <c r="M98" s="2"/>
      <c r="N98" s="12" t="str">
        <f t="shared" si="27"/>
        <v>—</v>
      </c>
      <c r="O98" s="2"/>
      <c r="P98" s="2"/>
      <c r="Q98" s="12" t="str">
        <f t="shared" si="28"/>
        <v>—</v>
      </c>
      <c r="R98" s="25">
        <f t="shared" si="29"/>
        <v>0</v>
      </c>
      <c r="S98" s="14" t="s">
        <v>40</v>
      </c>
      <c r="T98" s="14" t="s">
        <v>44</v>
      </c>
    </row>
    <row r="99" spans="1:20" ht="15.75" customHeight="1" x14ac:dyDescent="0.25">
      <c r="A99" s="26" t="s">
        <v>156</v>
      </c>
      <c r="B99" s="16" t="s">
        <v>157</v>
      </c>
      <c r="C99" s="2">
        <v>10</v>
      </c>
      <c r="D99" s="2">
        <v>6</v>
      </c>
      <c r="E99" s="12">
        <f t="shared" si="24"/>
        <v>12</v>
      </c>
      <c r="F99" s="2">
        <v>10</v>
      </c>
      <c r="G99" s="2">
        <v>4</v>
      </c>
      <c r="H99" s="12">
        <f t="shared" si="25"/>
        <v>11.3</v>
      </c>
      <c r="I99" s="2">
        <v>10</v>
      </c>
      <c r="J99" s="2">
        <v>3</v>
      </c>
      <c r="K99" s="12">
        <f t="shared" si="26"/>
        <v>11</v>
      </c>
      <c r="L99" s="2"/>
      <c r="M99" s="2"/>
      <c r="N99" s="12" t="str">
        <f t="shared" si="27"/>
        <v>—</v>
      </c>
      <c r="O99" s="2"/>
      <c r="P99" s="2"/>
      <c r="Q99" s="12" t="str">
        <f t="shared" si="28"/>
        <v>—</v>
      </c>
      <c r="R99" s="25">
        <f t="shared" si="29"/>
        <v>12</v>
      </c>
      <c r="S99" s="14" t="s">
        <v>40</v>
      </c>
      <c r="T99" s="14" t="s">
        <v>44</v>
      </c>
    </row>
    <row r="100" spans="1:20" ht="15.75" customHeight="1" x14ac:dyDescent="0.25">
      <c r="A100" s="23" t="s">
        <v>158</v>
      </c>
      <c r="B100" s="24" t="s">
        <v>159</v>
      </c>
      <c r="C100" s="2">
        <v>10</v>
      </c>
      <c r="D100" s="2">
        <v>9</v>
      </c>
      <c r="E100" s="12">
        <f t="shared" si="24"/>
        <v>13</v>
      </c>
      <c r="F100" s="2">
        <v>10</v>
      </c>
      <c r="G100" s="2">
        <v>6</v>
      </c>
      <c r="H100" s="12">
        <f t="shared" si="25"/>
        <v>12</v>
      </c>
      <c r="I100" s="2">
        <v>10</v>
      </c>
      <c r="J100" s="2">
        <v>6</v>
      </c>
      <c r="K100" s="12">
        <f t="shared" si="26"/>
        <v>12</v>
      </c>
      <c r="L100" s="2"/>
      <c r="M100" s="2"/>
      <c r="N100" s="12" t="str">
        <f t="shared" si="27"/>
        <v>—</v>
      </c>
      <c r="O100" s="2"/>
      <c r="P100" s="2"/>
      <c r="Q100" s="12" t="str">
        <f t="shared" si="28"/>
        <v>—</v>
      </c>
      <c r="R100" s="25">
        <f t="shared" si="29"/>
        <v>13</v>
      </c>
      <c r="S100" s="14"/>
      <c r="T100" s="14"/>
    </row>
    <row r="101" spans="1:20" ht="15.75" customHeight="1" x14ac:dyDescent="0.25">
      <c r="A101" s="26" t="s">
        <v>160</v>
      </c>
      <c r="B101" s="16" t="s">
        <v>161</v>
      </c>
      <c r="C101" s="2">
        <v>10</v>
      </c>
      <c r="D101" s="2">
        <v>10</v>
      </c>
      <c r="E101" s="12"/>
      <c r="F101" s="2">
        <v>10</v>
      </c>
      <c r="G101" s="2">
        <v>10</v>
      </c>
      <c r="H101" s="12"/>
      <c r="I101" s="2">
        <v>10</v>
      </c>
      <c r="J101" s="2">
        <v>10</v>
      </c>
      <c r="K101" s="12"/>
      <c r="L101" s="2">
        <v>10</v>
      </c>
      <c r="M101" s="2">
        <v>10</v>
      </c>
      <c r="N101" s="12"/>
      <c r="O101" s="2"/>
      <c r="P101" s="2"/>
      <c r="Q101" s="12"/>
      <c r="R101" s="25"/>
      <c r="S101" s="14"/>
      <c r="T101" s="14"/>
    </row>
    <row r="102" spans="1:20" ht="15.75" customHeight="1" x14ac:dyDescent="0.25">
      <c r="A102" s="26" t="s">
        <v>162</v>
      </c>
      <c r="B102" s="16" t="s">
        <v>92</v>
      </c>
      <c r="C102" s="2"/>
      <c r="D102" s="2"/>
      <c r="E102" s="12" t="str">
        <f t="shared" ref="E102:E105" si="30">IF(AND(ISNUMBER(C102),ISNUMBER(D102)),ROUND(C102*(1+D102/30),1),"—")</f>
        <v>—</v>
      </c>
      <c r="F102" s="2"/>
      <c r="G102" s="2"/>
      <c r="H102" s="12" t="str">
        <f t="shared" ref="H102:H105" si="31">IF(AND(ISNUMBER(F102),ISNUMBER(G102)),ROUND(F102*(1+G102/30),1),"—")</f>
        <v>—</v>
      </c>
      <c r="I102" s="2"/>
      <c r="J102" s="2"/>
      <c r="K102" s="12" t="str">
        <f t="shared" ref="K102:K105" si="32">IF(AND(ISNUMBER(I102),ISNUMBER(J102)),ROUND(I102*(1+J102/30),1),"—")</f>
        <v>—</v>
      </c>
      <c r="L102" s="2"/>
      <c r="M102" s="2"/>
      <c r="N102" s="12" t="str">
        <f t="shared" ref="N102:N105" si="33">IF(AND(ISNUMBER(L102),ISNUMBER(M102)),ROUND(L102*(1+M102/30),1),"—")</f>
        <v>—</v>
      </c>
      <c r="O102" s="2"/>
      <c r="P102" s="2"/>
      <c r="Q102" s="12" t="str">
        <f t="shared" ref="Q102:Q105" si="34">IF(AND(ISNUMBER(O102),ISNUMBER(P102)),ROUND(O102*(1+P102/30),1),"—")</f>
        <v>—</v>
      </c>
      <c r="R102" s="25">
        <f t="shared" ref="R102:R105" si="35">IFERROR(MAX(IFERROR(VALUE(E102),0),IFERROR(VALUE(H102),0),IFERROR(VALUE(K102),0),IFERROR(VALUE(N102),0),IFERROR(VALUE(Q102),0)),"—")</f>
        <v>0</v>
      </c>
      <c r="S102" s="14"/>
      <c r="T102" s="14"/>
    </row>
    <row r="103" spans="1:20" ht="15.75" customHeight="1" x14ac:dyDescent="0.25">
      <c r="A103" s="23" t="s">
        <v>163</v>
      </c>
      <c r="B103" s="24" t="s">
        <v>95</v>
      </c>
      <c r="C103" s="2"/>
      <c r="D103" s="2"/>
      <c r="E103" s="12" t="str">
        <f t="shared" si="30"/>
        <v>—</v>
      </c>
      <c r="F103" s="2"/>
      <c r="G103" s="2"/>
      <c r="H103" s="12" t="str">
        <f t="shared" si="31"/>
        <v>—</v>
      </c>
      <c r="I103" s="2"/>
      <c r="J103" s="2"/>
      <c r="K103" s="12" t="str">
        <f t="shared" si="32"/>
        <v>—</v>
      </c>
      <c r="L103" s="2"/>
      <c r="M103" s="2"/>
      <c r="N103" s="12" t="str">
        <f t="shared" si="33"/>
        <v>—</v>
      </c>
      <c r="O103" s="2"/>
      <c r="P103" s="2"/>
      <c r="Q103" s="12" t="str">
        <f t="shared" si="34"/>
        <v>—</v>
      </c>
      <c r="R103" s="25">
        <f t="shared" si="35"/>
        <v>0</v>
      </c>
      <c r="S103" s="14"/>
      <c r="T103" s="14"/>
    </row>
    <row r="104" spans="1:20" ht="15.75" customHeight="1" x14ac:dyDescent="0.25">
      <c r="A104" s="26" t="s">
        <v>164</v>
      </c>
      <c r="B104" s="16" t="s">
        <v>92</v>
      </c>
      <c r="C104" s="2"/>
      <c r="D104" s="2"/>
      <c r="E104" s="12" t="str">
        <f t="shared" si="30"/>
        <v>—</v>
      </c>
      <c r="F104" s="2"/>
      <c r="G104" s="2"/>
      <c r="H104" s="12" t="str">
        <f t="shared" si="31"/>
        <v>—</v>
      </c>
      <c r="I104" s="2"/>
      <c r="J104" s="2"/>
      <c r="K104" s="12" t="str">
        <f t="shared" si="32"/>
        <v>—</v>
      </c>
      <c r="L104" s="2"/>
      <c r="M104" s="2"/>
      <c r="N104" s="12" t="str">
        <f t="shared" si="33"/>
        <v>—</v>
      </c>
      <c r="O104" s="2"/>
      <c r="P104" s="2"/>
      <c r="Q104" s="12" t="str">
        <f t="shared" si="34"/>
        <v>—</v>
      </c>
      <c r="R104" s="25">
        <f t="shared" si="35"/>
        <v>0</v>
      </c>
      <c r="S104" s="14"/>
      <c r="T104" s="14"/>
    </row>
    <row r="105" spans="1:20" ht="15.75" customHeight="1" x14ac:dyDescent="0.25">
      <c r="A105" s="23" t="s">
        <v>165</v>
      </c>
      <c r="B105" s="24" t="s">
        <v>166</v>
      </c>
      <c r="C105" s="2"/>
      <c r="D105" s="2"/>
      <c r="E105" s="12" t="str">
        <f t="shared" si="30"/>
        <v>—</v>
      </c>
      <c r="F105" s="2"/>
      <c r="G105" s="2"/>
      <c r="H105" s="12" t="str">
        <f t="shared" si="31"/>
        <v>—</v>
      </c>
      <c r="I105" s="2"/>
      <c r="J105" s="2"/>
      <c r="K105" s="12" t="str">
        <f t="shared" si="32"/>
        <v>—</v>
      </c>
      <c r="L105" s="2"/>
      <c r="M105" s="2"/>
      <c r="N105" s="12" t="str">
        <f t="shared" si="33"/>
        <v>—</v>
      </c>
      <c r="O105" s="2"/>
      <c r="P105" s="2"/>
      <c r="Q105" s="12" t="str">
        <f t="shared" si="34"/>
        <v>—</v>
      </c>
      <c r="R105" s="25">
        <f t="shared" si="35"/>
        <v>0</v>
      </c>
      <c r="S105" s="14"/>
      <c r="T105" s="14"/>
    </row>
    <row r="106" spans="1:20" ht="19.5" customHeight="1" x14ac:dyDescent="0.25">
      <c r="A106" s="42" t="s">
        <v>63</v>
      </c>
      <c r="B106" s="40"/>
    </row>
    <row r="107" spans="1:20" ht="18" customHeight="1" x14ac:dyDescent="0.25">
      <c r="A107" s="41" t="s">
        <v>64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40"/>
    </row>
    <row r="108" spans="1:20" ht="15.75" customHeight="1" x14ac:dyDescent="0.25">
      <c r="A108" s="37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</row>
    <row r="109" spans="1:20" ht="15.75" customHeight="1" x14ac:dyDescent="0.25">
      <c r="A109" s="27" t="s">
        <v>2</v>
      </c>
      <c r="B109" s="28"/>
      <c r="C109" s="29" t="s">
        <v>3</v>
      </c>
      <c r="D109" s="30"/>
      <c r="E109" s="29" t="s">
        <v>4</v>
      </c>
      <c r="F109" s="30"/>
      <c r="G109" s="29" t="s">
        <v>5</v>
      </c>
      <c r="H109" s="30" t="s">
        <v>205</v>
      </c>
      <c r="I109" s="29" t="s">
        <v>6</v>
      </c>
      <c r="J109" s="30"/>
      <c r="K109" s="29" t="s">
        <v>7</v>
      </c>
      <c r="L109" s="30"/>
      <c r="M109" s="29" t="s">
        <v>8</v>
      </c>
      <c r="N109" s="30"/>
      <c r="O109" s="29" t="s">
        <v>9</v>
      </c>
      <c r="P109" s="30"/>
    </row>
    <row r="110" spans="1:20" ht="35.25" customHeight="1" x14ac:dyDescent="0.25">
      <c r="A110" s="31" t="s">
        <v>206</v>
      </c>
      <c r="B110" s="31" t="s">
        <v>11</v>
      </c>
      <c r="C110" s="32" t="s">
        <v>12</v>
      </c>
      <c r="D110" s="32" t="s">
        <v>13</v>
      </c>
      <c r="E110" s="32" t="s">
        <v>14</v>
      </c>
      <c r="F110" s="32" t="s">
        <v>15</v>
      </c>
      <c r="G110" s="32" t="s">
        <v>16</v>
      </c>
      <c r="H110" s="32" t="s">
        <v>17</v>
      </c>
      <c r="I110" s="32" t="s">
        <v>18</v>
      </c>
      <c r="J110" s="32" t="s">
        <v>19</v>
      </c>
      <c r="K110" s="32" t="s">
        <v>20</v>
      </c>
      <c r="L110" s="32" t="s">
        <v>21</v>
      </c>
      <c r="M110" s="32" t="s">
        <v>22</v>
      </c>
      <c r="N110" s="32" t="s">
        <v>23</v>
      </c>
      <c r="O110" s="32" t="s">
        <v>24</v>
      </c>
      <c r="P110" s="32" t="s">
        <v>25</v>
      </c>
      <c r="Q110" s="32" t="s">
        <v>26</v>
      </c>
      <c r="R110" s="32" t="s">
        <v>27</v>
      </c>
      <c r="S110" s="32" t="s">
        <v>28</v>
      </c>
      <c r="T110" s="32" t="s">
        <v>29</v>
      </c>
    </row>
    <row r="111" spans="1:20" ht="15.75" customHeight="1" x14ac:dyDescent="0.25">
      <c r="A111" s="33" t="s">
        <v>207</v>
      </c>
      <c r="B111" s="16" t="s">
        <v>208</v>
      </c>
      <c r="C111" s="2"/>
      <c r="D111" s="2"/>
      <c r="E111" s="12" t="str">
        <f t="shared" ref="E111:E126" si="36">IF(AND(ISNUMBER(C111),ISNUMBER(D111)),ROUND(C111*(1+D111/30),1),"—")</f>
        <v>—</v>
      </c>
      <c r="F111" s="2"/>
      <c r="G111" s="2"/>
      <c r="H111" s="12" t="str">
        <f t="shared" ref="H111:H126" si="37">IF(AND(ISNUMBER(F111),ISNUMBER(G111)),ROUND(F111*(1+G111/30),1),"—")</f>
        <v>—</v>
      </c>
      <c r="I111" s="2"/>
      <c r="J111" s="2"/>
      <c r="K111" s="12" t="str">
        <f t="shared" ref="K111:K126" si="38">IF(AND(ISNUMBER(I111),ISNUMBER(J111)),ROUND(I111*(1+J111/30),1),"—")</f>
        <v>—</v>
      </c>
      <c r="L111" s="2"/>
      <c r="M111" s="2"/>
      <c r="N111" s="12" t="str">
        <f t="shared" ref="N111:N126" si="39">IF(AND(ISNUMBER(L111),ISNUMBER(M111)),ROUND(L111*(1+M111/30),1),"—")</f>
        <v>—</v>
      </c>
      <c r="O111" s="2"/>
      <c r="P111" s="2"/>
      <c r="Q111" s="12" t="str">
        <f t="shared" ref="Q111:Q126" si="40">IF(AND(ISNUMBER(O111),ISNUMBER(P111)),ROUND(O111*(1+P111/30),1),"—")</f>
        <v>—</v>
      </c>
      <c r="R111" s="34">
        <f t="shared" ref="R111:R126" si="41">IFERROR(MAX(IFERROR(VALUE(E111),0),IFERROR(VALUE(H111),0),IFERROR(VALUE(K111),0),IFERROR(VALUE(N111),0),IFERROR(VALUE(Q111),0)),"—")</f>
        <v>0</v>
      </c>
      <c r="S111" s="14"/>
      <c r="T111" s="14"/>
    </row>
    <row r="112" spans="1:20" ht="15.75" customHeight="1" x14ac:dyDescent="0.25">
      <c r="A112" s="35" t="s">
        <v>209</v>
      </c>
      <c r="B112" s="36" t="s">
        <v>210</v>
      </c>
      <c r="C112" s="2"/>
      <c r="D112" s="2"/>
      <c r="E112" s="12" t="str">
        <f t="shared" si="36"/>
        <v>—</v>
      </c>
      <c r="F112" s="2"/>
      <c r="G112" s="2"/>
      <c r="H112" s="12" t="str">
        <f t="shared" si="37"/>
        <v>—</v>
      </c>
      <c r="I112" s="2"/>
      <c r="J112" s="2"/>
      <c r="K112" s="12" t="str">
        <f t="shared" si="38"/>
        <v>—</v>
      </c>
      <c r="L112" s="2"/>
      <c r="M112" s="2"/>
      <c r="N112" s="12" t="str">
        <f t="shared" si="39"/>
        <v>—</v>
      </c>
      <c r="O112" s="2"/>
      <c r="P112" s="2"/>
      <c r="Q112" s="12" t="str">
        <f t="shared" si="40"/>
        <v>—</v>
      </c>
      <c r="R112" s="34">
        <f t="shared" si="41"/>
        <v>0</v>
      </c>
      <c r="S112" s="14"/>
      <c r="T112" s="14"/>
    </row>
    <row r="113" spans="1:20" ht="15.75" customHeight="1" x14ac:dyDescent="0.25">
      <c r="A113" s="33" t="s">
        <v>211</v>
      </c>
      <c r="B113" s="16" t="s">
        <v>212</v>
      </c>
      <c r="C113" s="2"/>
      <c r="D113" s="2"/>
      <c r="E113" s="12" t="str">
        <f t="shared" si="36"/>
        <v>—</v>
      </c>
      <c r="F113" s="2"/>
      <c r="G113" s="2"/>
      <c r="H113" s="12" t="str">
        <f t="shared" si="37"/>
        <v>—</v>
      </c>
      <c r="I113" s="2"/>
      <c r="J113" s="2"/>
      <c r="K113" s="12" t="str">
        <f t="shared" si="38"/>
        <v>—</v>
      </c>
      <c r="L113" s="2"/>
      <c r="M113" s="2"/>
      <c r="N113" s="12" t="str">
        <f t="shared" si="39"/>
        <v>—</v>
      </c>
      <c r="O113" s="2"/>
      <c r="P113" s="2"/>
      <c r="Q113" s="12" t="str">
        <f t="shared" si="40"/>
        <v>—</v>
      </c>
      <c r="R113" s="34">
        <f t="shared" si="41"/>
        <v>0</v>
      </c>
      <c r="S113" s="14"/>
      <c r="T113" s="14"/>
    </row>
    <row r="114" spans="1:20" ht="15.75" customHeight="1" x14ac:dyDescent="0.25">
      <c r="A114" s="35" t="s">
        <v>213</v>
      </c>
      <c r="B114" s="36" t="s">
        <v>214</v>
      </c>
      <c r="C114" s="2"/>
      <c r="D114" s="2"/>
      <c r="E114" s="12" t="str">
        <f t="shared" si="36"/>
        <v>—</v>
      </c>
      <c r="F114" s="2"/>
      <c r="G114" s="2"/>
      <c r="H114" s="12" t="str">
        <f t="shared" si="37"/>
        <v>—</v>
      </c>
      <c r="I114" s="2"/>
      <c r="J114" s="2"/>
      <c r="K114" s="12" t="str">
        <f t="shared" si="38"/>
        <v>—</v>
      </c>
      <c r="L114" s="2"/>
      <c r="M114" s="2"/>
      <c r="N114" s="12" t="str">
        <f t="shared" si="39"/>
        <v>—</v>
      </c>
      <c r="O114" s="2"/>
      <c r="P114" s="2"/>
      <c r="Q114" s="12" t="str">
        <f t="shared" si="40"/>
        <v>—</v>
      </c>
      <c r="R114" s="34">
        <f t="shared" si="41"/>
        <v>0</v>
      </c>
      <c r="S114" s="14"/>
      <c r="T114" s="14"/>
    </row>
    <row r="115" spans="1:20" ht="15.75" customHeight="1" x14ac:dyDescent="0.25">
      <c r="A115" s="33" t="s">
        <v>215</v>
      </c>
      <c r="B115" s="16" t="s">
        <v>216</v>
      </c>
      <c r="C115" s="2"/>
      <c r="D115" s="2"/>
      <c r="E115" s="12" t="str">
        <f t="shared" si="36"/>
        <v>—</v>
      </c>
      <c r="F115" s="2"/>
      <c r="G115" s="2"/>
      <c r="H115" s="12" t="str">
        <f t="shared" si="37"/>
        <v>—</v>
      </c>
      <c r="I115" s="2"/>
      <c r="J115" s="2"/>
      <c r="K115" s="12" t="str">
        <f t="shared" si="38"/>
        <v>—</v>
      </c>
      <c r="L115" s="2"/>
      <c r="M115" s="2"/>
      <c r="N115" s="12" t="str">
        <f t="shared" si="39"/>
        <v>—</v>
      </c>
      <c r="O115" s="2"/>
      <c r="P115" s="2"/>
      <c r="Q115" s="12" t="str">
        <f t="shared" si="40"/>
        <v>—</v>
      </c>
      <c r="R115" s="34">
        <f t="shared" si="41"/>
        <v>0</v>
      </c>
      <c r="S115" s="14" t="s">
        <v>40</v>
      </c>
      <c r="T115" s="14" t="s">
        <v>103</v>
      </c>
    </row>
    <row r="116" spans="1:20" ht="15.75" customHeight="1" x14ac:dyDescent="0.25">
      <c r="A116" s="35" t="s">
        <v>217</v>
      </c>
      <c r="B116" s="36" t="s">
        <v>218</v>
      </c>
      <c r="C116" s="2"/>
      <c r="D116" s="2"/>
      <c r="E116" s="12" t="str">
        <f t="shared" si="36"/>
        <v>—</v>
      </c>
      <c r="F116" s="2"/>
      <c r="G116" s="2"/>
      <c r="H116" s="12" t="str">
        <f t="shared" si="37"/>
        <v>—</v>
      </c>
      <c r="I116" s="2"/>
      <c r="J116" s="2"/>
      <c r="K116" s="12" t="str">
        <f t="shared" si="38"/>
        <v>—</v>
      </c>
      <c r="L116" s="2"/>
      <c r="M116" s="2"/>
      <c r="N116" s="12" t="str">
        <f t="shared" si="39"/>
        <v>—</v>
      </c>
      <c r="O116" s="2"/>
      <c r="P116" s="2"/>
      <c r="Q116" s="12" t="str">
        <f t="shared" si="40"/>
        <v>—</v>
      </c>
      <c r="R116" s="34">
        <f t="shared" si="41"/>
        <v>0</v>
      </c>
      <c r="S116" s="14" t="s">
        <v>40</v>
      </c>
      <c r="T116" s="14" t="s">
        <v>103</v>
      </c>
    </row>
    <row r="117" spans="1:20" ht="15.75" customHeight="1" x14ac:dyDescent="0.25">
      <c r="A117" s="33" t="s">
        <v>219</v>
      </c>
      <c r="B117" s="16" t="s">
        <v>220</v>
      </c>
      <c r="C117" s="2"/>
      <c r="D117" s="2"/>
      <c r="E117" s="12" t="str">
        <f t="shared" si="36"/>
        <v>—</v>
      </c>
      <c r="F117" s="2"/>
      <c r="G117" s="2"/>
      <c r="H117" s="12" t="str">
        <f t="shared" si="37"/>
        <v>—</v>
      </c>
      <c r="I117" s="2"/>
      <c r="J117" s="2"/>
      <c r="K117" s="12" t="str">
        <f t="shared" si="38"/>
        <v>—</v>
      </c>
      <c r="L117" s="2"/>
      <c r="M117" s="2"/>
      <c r="N117" s="12" t="str">
        <f t="shared" si="39"/>
        <v>—</v>
      </c>
      <c r="O117" s="2"/>
      <c r="P117" s="2"/>
      <c r="Q117" s="12" t="str">
        <f t="shared" si="40"/>
        <v>—</v>
      </c>
      <c r="R117" s="34">
        <f t="shared" si="41"/>
        <v>0</v>
      </c>
      <c r="S117" s="14" t="s">
        <v>40</v>
      </c>
      <c r="T117" s="14" t="s">
        <v>221</v>
      </c>
    </row>
    <row r="118" spans="1:20" ht="15.75" customHeight="1" x14ac:dyDescent="0.25">
      <c r="A118" s="35" t="s">
        <v>222</v>
      </c>
      <c r="B118" s="36" t="s">
        <v>223</v>
      </c>
      <c r="C118" s="2"/>
      <c r="D118" s="2"/>
      <c r="E118" s="12" t="str">
        <f t="shared" si="36"/>
        <v>—</v>
      </c>
      <c r="F118" s="2"/>
      <c r="G118" s="2"/>
      <c r="H118" s="12" t="str">
        <f t="shared" si="37"/>
        <v>—</v>
      </c>
      <c r="I118" s="2"/>
      <c r="J118" s="2"/>
      <c r="K118" s="12" t="str">
        <f t="shared" si="38"/>
        <v>—</v>
      </c>
      <c r="L118" s="2"/>
      <c r="M118" s="2"/>
      <c r="N118" s="12" t="str">
        <f t="shared" si="39"/>
        <v>—</v>
      </c>
      <c r="O118" s="2"/>
      <c r="P118" s="2"/>
      <c r="Q118" s="12" t="str">
        <f t="shared" si="40"/>
        <v>—</v>
      </c>
      <c r="R118" s="34">
        <f t="shared" si="41"/>
        <v>0</v>
      </c>
      <c r="S118" s="14" t="s">
        <v>40</v>
      </c>
      <c r="T118" s="14" t="s">
        <v>103</v>
      </c>
    </row>
    <row r="119" spans="1:20" ht="15.75" customHeight="1" x14ac:dyDescent="0.25">
      <c r="A119" s="33" t="s">
        <v>224</v>
      </c>
      <c r="B119" s="16" t="s">
        <v>225</v>
      </c>
      <c r="C119" s="2"/>
      <c r="D119" s="2"/>
      <c r="E119" s="12" t="str">
        <f t="shared" si="36"/>
        <v>—</v>
      </c>
      <c r="F119" s="2"/>
      <c r="G119" s="2"/>
      <c r="H119" s="12" t="str">
        <f t="shared" si="37"/>
        <v>—</v>
      </c>
      <c r="I119" s="2"/>
      <c r="J119" s="2"/>
      <c r="K119" s="12" t="str">
        <f t="shared" si="38"/>
        <v>—</v>
      </c>
      <c r="L119" s="2"/>
      <c r="M119" s="2"/>
      <c r="N119" s="12" t="str">
        <f t="shared" si="39"/>
        <v>—</v>
      </c>
      <c r="O119" s="2"/>
      <c r="P119" s="2"/>
      <c r="Q119" s="12" t="str">
        <f t="shared" si="40"/>
        <v>—</v>
      </c>
      <c r="R119" s="34">
        <f t="shared" si="41"/>
        <v>0</v>
      </c>
      <c r="S119" s="14" t="s">
        <v>40</v>
      </c>
      <c r="T119" s="14" t="s">
        <v>44</v>
      </c>
    </row>
    <row r="120" spans="1:20" ht="15.75" customHeight="1" x14ac:dyDescent="0.25">
      <c r="A120" s="35" t="s">
        <v>226</v>
      </c>
      <c r="B120" s="36" t="s">
        <v>227</v>
      </c>
      <c r="C120" s="2"/>
      <c r="D120" s="2"/>
      <c r="E120" s="12" t="str">
        <f t="shared" si="36"/>
        <v>—</v>
      </c>
      <c r="F120" s="2"/>
      <c r="G120" s="2"/>
      <c r="H120" s="12" t="str">
        <f t="shared" si="37"/>
        <v>—</v>
      </c>
      <c r="I120" s="2"/>
      <c r="J120" s="2"/>
      <c r="K120" s="12" t="str">
        <f t="shared" si="38"/>
        <v>—</v>
      </c>
      <c r="L120" s="2"/>
      <c r="M120" s="2"/>
      <c r="N120" s="12" t="str">
        <f t="shared" si="39"/>
        <v>—</v>
      </c>
      <c r="O120" s="2"/>
      <c r="P120" s="2"/>
      <c r="Q120" s="12" t="str">
        <f t="shared" si="40"/>
        <v>—</v>
      </c>
      <c r="R120" s="34">
        <f t="shared" si="41"/>
        <v>0</v>
      </c>
      <c r="S120" s="14" t="s">
        <v>40</v>
      </c>
      <c r="T120" s="14" t="s">
        <v>100</v>
      </c>
    </row>
    <row r="121" spans="1:20" ht="15.75" customHeight="1" x14ac:dyDescent="0.25">
      <c r="A121" s="33" t="s">
        <v>228</v>
      </c>
      <c r="B121" s="16" t="s">
        <v>229</v>
      </c>
      <c r="C121" s="2"/>
      <c r="D121" s="2"/>
      <c r="E121" s="12" t="str">
        <f t="shared" si="36"/>
        <v>—</v>
      </c>
      <c r="F121" s="2"/>
      <c r="G121" s="2"/>
      <c r="H121" s="12" t="str">
        <f t="shared" si="37"/>
        <v>—</v>
      </c>
      <c r="I121" s="2"/>
      <c r="J121" s="2"/>
      <c r="K121" s="12" t="str">
        <f t="shared" si="38"/>
        <v>—</v>
      </c>
      <c r="L121" s="2"/>
      <c r="M121" s="2"/>
      <c r="N121" s="12" t="str">
        <f t="shared" si="39"/>
        <v>—</v>
      </c>
      <c r="O121" s="2"/>
      <c r="P121" s="2"/>
      <c r="Q121" s="12" t="str">
        <f t="shared" si="40"/>
        <v>—</v>
      </c>
      <c r="R121" s="34">
        <f t="shared" si="41"/>
        <v>0</v>
      </c>
      <c r="S121" s="14" t="s">
        <v>40</v>
      </c>
      <c r="T121" s="14" t="s">
        <v>186</v>
      </c>
    </row>
    <row r="122" spans="1:20" ht="15.75" customHeight="1" x14ac:dyDescent="0.25">
      <c r="A122" s="35" t="s">
        <v>230</v>
      </c>
      <c r="B122" s="36" t="s">
        <v>231</v>
      </c>
      <c r="C122" s="2"/>
      <c r="D122" s="2"/>
      <c r="E122" s="12" t="str">
        <f t="shared" si="36"/>
        <v>—</v>
      </c>
      <c r="F122" s="2"/>
      <c r="G122" s="2"/>
      <c r="H122" s="12" t="str">
        <f t="shared" si="37"/>
        <v>—</v>
      </c>
      <c r="I122" s="2"/>
      <c r="J122" s="2"/>
      <c r="K122" s="12" t="str">
        <f t="shared" si="38"/>
        <v>—</v>
      </c>
      <c r="L122" s="2"/>
      <c r="M122" s="2"/>
      <c r="N122" s="12" t="str">
        <f t="shared" si="39"/>
        <v>—</v>
      </c>
      <c r="O122" s="2"/>
      <c r="P122" s="2"/>
      <c r="Q122" s="12" t="str">
        <f t="shared" si="40"/>
        <v>—</v>
      </c>
      <c r="R122" s="34">
        <f t="shared" si="41"/>
        <v>0</v>
      </c>
      <c r="S122" s="14" t="s">
        <v>40</v>
      </c>
      <c r="T122" s="14" t="s">
        <v>186</v>
      </c>
    </row>
    <row r="123" spans="1:20" ht="15.75" customHeight="1" x14ac:dyDescent="0.25">
      <c r="A123" s="33" t="s">
        <v>232</v>
      </c>
      <c r="B123" s="16" t="s">
        <v>102</v>
      </c>
      <c r="C123" s="2"/>
      <c r="D123" s="2"/>
      <c r="E123" s="12" t="str">
        <f t="shared" si="36"/>
        <v>—</v>
      </c>
      <c r="F123" s="2"/>
      <c r="G123" s="2"/>
      <c r="H123" s="12" t="str">
        <f t="shared" si="37"/>
        <v>—</v>
      </c>
      <c r="I123" s="2"/>
      <c r="J123" s="2"/>
      <c r="K123" s="12" t="str">
        <f t="shared" si="38"/>
        <v>—</v>
      </c>
      <c r="L123" s="2"/>
      <c r="M123" s="2"/>
      <c r="N123" s="12" t="str">
        <f t="shared" si="39"/>
        <v>—</v>
      </c>
      <c r="O123" s="2"/>
      <c r="P123" s="2"/>
      <c r="Q123" s="12" t="str">
        <f t="shared" si="40"/>
        <v>—</v>
      </c>
      <c r="R123" s="34">
        <f t="shared" si="41"/>
        <v>0</v>
      </c>
      <c r="S123" s="14" t="s">
        <v>40</v>
      </c>
      <c r="T123" s="14" t="s">
        <v>80</v>
      </c>
    </row>
    <row r="124" spans="1:20" ht="15.75" customHeight="1" x14ac:dyDescent="0.25">
      <c r="A124" s="35" t="s">
        <v>233</v>
      </c>
      <c r="B124" s="36" t="s">
        <v>168</v>
      </c>
      <c r="C124" s="2"/>
      <c r="D124" s="2"/>
      <c r="E124" s="12" t="str">
        <f t="shared" si="36"/>
        <v>—</v>
      </c>
      <c r="F124" s="2"/>
      <c r="G124" s="2"/>
      <c r="H124" s="12" t="str">
        <f t="shared" si="37"/>
        <v>—</v>
      </c>
      <c r="I124" s="2"/>
      <c r="J124" s="2"/>
      <c r="K124" s="12" t="str">
        <f t="shared" si="38"/>
        <v>—</v>
      </c>
      <c r="L124" s="2"/>
      <c r="M124" s="2"/>
      <c r="N124" s="12" t="str">
        <f t="shared" si="39"/>
        <v>—</v>
      </c>
      <c r="O124" s="2"/>
      <c r="P124" s="2"/>
      <c r="Q124" s="12" t="str">
        <f t="shared" si="40"/>
        <v>—</v>
      </c>
      <c r="R124" s="34">
        <f t="shared" si="41"/>
        <v>0</v>
      </c>
      <c r="S124" s="14" t="s">
        <v>40</v>
      </c>
      <c r="T124" s="14" t="s">
        <v>100</v>
      </c>
    </row>
    <row r="125" spans="1:20" ht="15.75" customHeight="1" x14ac:dyDescent="0.25">
      <c r="A125" s="33" t="s">
        <v>234</v>
      </c>
      <c r="B125" s="16" t="s">
        <v>235</v>
      </c>
      <c r="C125" s="2"/>
      <c r="D125" s="2"/>
      <c r="E125" s="12" t="str">
        <f t="shared" si="36"/>
        <v>—</v>
      </c>
      <c r="F125" s="2"/>
      <c r="G125" s="2"/>
      <c r="H125" s="12" t="str">
        <f t="shared" si="37"/>
        <v>—</v>
      </c>
      <c r="I125" s="2"/>
      <c r="J125" s="2"/>
      <c r="K125" s="12" t="str">
        <f t="shared" si="38"/>
        <v>—</v>
      </c>
      <c r="L125" s="2"/>
      <c r="M125" s="2"/>
      <c r="N125" s="12" t="str">
        <f t="shared" si="39"/>
        <v>—</v>
      </c>
      <c r="O125" s="2"/>
      <c r="P125" s="2"/>
      <c r="Q125" s="12" t="str">
        <f t="shared" si="40"/>
        <v>—</v>
      </c>
      <c r="R125" s="34">
        <f t="shared" si="41"/>
        <v>0</v>
      </c>
      <c r="S125" s="14" t="s">
        <v>40</v>
      </c>
      <c r="T125" s="14" t="s">
        <v>236</v>
      </c>
    </row>
    <row r="126" spans="1:20" ht="15.75" customHeight="1" x14ac:dyDescent="0.25">
      <c r="A126" s="35" t="s">
        <v>237</v>
      </c>
      <c r="B126" s="36" t="s">
        <v>133</v>
      </c>
      <c r="C126" s="2"/>
      <c r="D126" s="2"/>
      <c r="E126" s="12" t="str">
        <f t="shared" si="36"/>
        <v>—</v>
      </c>
      <c r="F126" s="2"/>
      <c r="G126" s="2"/>
      <c r="H126" s="12" t="str">
        <f t="shared" si="37"/>
        <v>—</v>
      </c>
      <c r="I126" s="2"/>
      <c r="J126" s="2"/>
      <c r="K126" s="12" t="str">
        <f t="shared" si="38"/>
        <v>—</v>
      </c>
      <c r="L126" s="2"/>
      <c r="M126" s="2"/>
      <c r="N126" s="12" t="str">
        <f t="shared" si="39"/>
        <v>—</v>
      </c>
      <c r="O126" s="2"/>
      <c r="P126" s="2"/>
      <c r="Q126" s="12" t="str">
        <f t="shared" si="40"/>
        <v>—</v>
      </c>
      <c r="R126" s="34">
        <f t="shared" si="41"/>
        <v>0</v>
      </c>
      <c r="S126" s="14"/>
      <c r="T126" s="14"/>
    </row>
    <row r="127" spans="1:20" ht="20.25" customHeight="1" x14ac:dyDescent="0.25">
      <c r="A127" s="42" t="s">
        <v>63</v>
      </c>
      <c r="B127" s="40"/>
    </row>
    <row r="128" spans="1:20" ht="15.75" customHeight="1" x14ac:dyDescent="0.25">
      <c r="A128" s="41" t="s">
        <v>64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40"/>
    </row>
    <row r="129" spans="1:20" ht="15.75" customHeight="1" x14ac:dyDescent="0.25">
      <c r="A129" s="37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</row>
    <row r="130" spans="1:20" ht="15.75" customHeight="1" x14ac:dyDescent="0.25">
      <c r="A130" s="3" t="s">
        <v>2</v>
      </c>
      <c r="B130" s="4"/>
      <c r="C130" s="5" t="s">
        <v>3</v>
      </c>
      <c r="D130" s="6"/>
      <c r="E130" s="5" t="s">
        <v>4</v>
      </c>
      <c r="F130" s="6"/>
      <c r="G130" s="5" t="s">
        <v>5</v>
      </c>
      <c r="H130" s="6"/>
      <c r="I130" s="5" t="s">
        <v>6</v>
      </c>
      <c r="J130" s="6"/>
      <c r="K130" s="5" t="s">
        <v>7</v>
      </c>
      <c r="L130" s="6"/>
      <c r="M130" s="5" t="s">
        <v>8</v>
      </c>
      <c r="N130" s="6"/>
      <c r="O130" s="5" t="s">
        <v>9</v>
      </c>
      <c r="P130" s="6"/>
    </row>
    <row r="131" spans="1:20" ht="15.75" customHeight="1" x14ac:dyDescent="0.25">
      <c r="A131" s="7" t="s">
        <v>10</v>
      </c>
      <c r="B131" s="8" t="s">
        <v>11</v>
      </c>
      <c r="C131" s="9" t="s">
        <v>12</v>
      </c>
      <c r="D131" s="9" t="s">
        <v>13</v>
      </c>
      <c r="E131" s="9" t="s">
        <v>14</v>
      </c>
      <c r="F131" s="9" t="s">
        <v>15</v>
      </c>
      <c r="G131" s="9" t="s">
        <v>16</v>
      </c>
      <c r="H131" s="9" t="s">
        <v>17</v>
      </c>
      <c r="I131" s="9" t="s">
        <v>18</v>
      </c>
      <c r="J131" s="9" t="s">
        <v>19</v>
      </c>
      <c r="K131" s="9" t="s">
        <v>20</v>
      </c>
      <c r="L131" s="9" t="s">
        <v>21</v>
      </c>
      <c r="M131" s="9" t="s">
        <v>22</v>
      </c>
      <c r="N131" s="9" t="s">
        <v>23</v>
      </c>
      <c r="O131" s="9" t="s">
        <v>24</v>
      </c>
      <c r="P131" s="9" t="s">
        <v>25</v>
      </c>
      <c r="Q131" s="9" t="s">
        <v>26</v>
      </c>
      <c r="R131" s="9" t="s">
        <v>27</v>
      </c>
      <c r="S131" s="9" t="s">
        <v>28</v>
      </c>
      <c r="T131" s="9" t="s">
        <v>29</v>
      </c>
    </row>
    <row r="132" spans="1:20" ht="15.75" customHeight="1" x14ac:dyDescent="0.25">
      <c r="A132" s="10" t="s">
        <v>30</v>
      </c>
      <c r="B132" s="11" t="s">
        <v>96</v>
      </c>
      <c r="C132" s="2"/>
      <c r="D132" s="2"/>
      <c r="E132" s="12" t="str">
        <f t="shared" ref="E132:E147" si="42">IF(AND(ISNUMBER(C132),ISNUMBER(D132)),ROUND(C132*(1+D132/30),1),"—")</f>
        <v>—</v>
      </c>
      <c r="F132" s="2"/>
      <c r="G132" s="2"/>
      <c r="H132" s="12" t="str">
        <f t="shared" ref="H132:H147" si="43">IF(AND(ISNUMBER(F132),ISNUMBER(G132)),ROUND(F132*(1+G132/30),1),"—")</f>
        <v>—</v>
      </c>
      <c r="I132" s="2"/>
      <c r="J132" s="2"/>
      <c r="K132" s="12" t="str">
        <f t="shared" ref="K132:K147" si="44">IF(AND(ISNUMBER(I132),ISNUMBER(J132)),ROUND(I132*(1+J132/30),1),"—")</f>
        <v>—</v>
      </c>
      <c r="L132" s="2"/>
      <c r="M132" s="2"/>
      <c r="N132" s="12" t="str">
        <f t="shared" ref="N132:N147" si="45">IF(AND(ISNUMBER(L132),ISNUMBER(M132)),ROUND(L132*(1+M132/30),1),"—")</f>
        <v>—</v>
      </c>
      <c r="O132" s="2"/>
      <c r="P132" s="2"/>
      <c r="Q132" s="12" t="str">
        <f t="shared" ref="Q132:Q147" si="46">IF(AND(ISNUMBER(O132),ISNUMBER(P132)),ROUND(O132*(1+P132/30),1),"—")</f>
        <v>—</v>
      </c>
      <c r="R132" s="13">
        <f t="shared" ref="R132:R147" si="47">IFERROR(MAX(IFERROR(VALUE(E132),0),IFERROR(VALUE(H132),0),IFERROR(VALUE(K132),0),IFERROR(VALUE(N132),0),IFERROR(VALUE(Q132),0)),"—")</f>
        <v>0</v>
      </c>
      <c r="S132" s="14"/>
      <c r="T132" s="14"/>
    </row>
    <row r="133" spans="1:20" ht="15.75" customHeight="1" x14ac:dyDescent="0.25">
      <c r="A133" s="15" t="s">
        <v>32</v>
      </c>
      <c r="B133" s="16" t="s">
        <v>33</v>
      </c>
      <c r="C133" s="2"/>
      <c r="D133" s="2"/>
      <c r="E133" s="12" t="str">
        <f t="shared" si="42"/>
        <v>—</v>
      </c>
      <c r="F133" s="2"/>
      <c r="G133" s="2"/>
      <c r="H133" s="12" t="str">
        <f t="shared" si="43"/>
        <v>—</v>
      </c>
      <c r="I133" s="2"/>
      <c r="J133" s="2"/>
      <c r="K133" s="12" t="str">
        <f t="shared" si="44"/>
        <v>—</v>
      </c>
      <c r="L133" s="2"/>
      <c r="M133" s="2"/>
      <c r="N133" s="12" t="str">
        <f t="shared" si="45"/>
        <v>—</v>
      </c>
      <c r="O133" s="2"/>
      <c r="P133" s="2"/>
      <c r="Q133" s="12" t="str">
        <f t="shared" si="46"/>
        <v>—</v>
      </c>
      <c r="R133" s="13">
        <f t="shared" si="47"/>
        <v>0</v>
      </c>
      <c r="S133" s="14"/>
      <c r="T133" s="14"/>
    </row>
    <row r="134" spans="1:20" ht="15.75" customHeight="1" x14ac:dyDescent="0.25">
      <c r="A134" s="10" t="s">
        <v>34</v>
      </c>
      <c r="B134" s="11" t="s">
        <v>35</v>
      </c>
      <c r="C134" s="2"/>
      <c r="D134" s="2"/>
      <c r="E134" s="12" t="str">
        <f t="shared" si="42"/>
        <v>—</v>
      </c>
      <c r="F134" s="2"/>
      <c r="G134" s="2"/>
      <c r="H134" s="12" t="str">
        <f t="shared" si="43"/>
        <v>—</v>
      </c>
      <c r="I134" s="2"/>
      <c r="J134" s="2"/>
      <c r="K134" s="12" t="str">
        <f t="shared" si="44"/>
        <v>—</v>
      </c>
      <c r="L134" s="2"/>
      <c r="M134" s="2"/>
      <c r="N134" s="12" t="str">
        <f t="shared" si="45"/>
        <v>—</v>
      </c>
      <c r="O134" s="2"/>
      <c r="P134" s="2"/>
      <c r="Q134" s="12" t="str">
        <f t="shared" si="46"/>
        <v>—</v>
      </c>
      <c r="R134" s="13">
        <f t="shared" si="47"/>
        <v>0</v>
      </c>
      <c r="S134" s="14"/>
      <c r="T134" s="14"/>
    </row>
    <row r="135" spans="1:20" ht="15.75" customHeight="1" x14ac:dyDescent="0.25">
      <c r="A135" s="15" t="s">
        <v>36</v>
      </c>
      <c r="B135" s="16" t="s">
        <v>37</v>
      </c>
      <c r="C135" s="2">
        <v>2.5</v>
      </c>
      <c r="D135" s="2">
        <v>20</v>
      </c>
      <c r="E135" s="12">
        <f t="shared" si="42"/>
        <v>4.2</v>
      </c>
      <c r="F135" s="2"/>
      <c r="G135" s="2"/>
      <c r="H135" s="12" t="str">
        <f t="shared" si="43"/>
        <v>—</v>
      </c>
      <c r="I135" s="2"/>
      <c r="J135" s="2"/>
      <c r="K135" s="12" t="str">
        <f t="shared" si="44"/>
        <v>—</v>
      </c>
      <c r="L135" s="2"/>
      <c r="M135" s="2"/>
      <c r="N135" s="12" t="str">
        <f t="shared" si="45"/>
        <v>—</v>
      </c>
      <c r="O135" s="2"/>
      <c r="P135" s="2"/>
      <c r="Q135" s="12" t="str">
        <f t="shared" si="46"/>
        <v>—</v>
      </c>
      <c r="R135" s="13">
        <f t="shared" si="47"/>
        <v>4.2</v>
      </c>
      <c r="S135" s="14"/>
      <c r="T135" s="14"/>
    </row>
    <row r="136" spans="1:20" ht="15.75" customHeight="1" x14ac:dyDescent="0.25">
      <c r="A136" s="10" t="s">
        <v>38</v>
      </c>
      <c r="B136" s="11" t="s">
        <v>39</v>
      </c>
      <c r="C136" s="2">
        <v>10</v>
      </c>
      <c r="D136" s="2">
        <v>20</v>
      </c>
      <c r="E136" s="12">
        <f t="shared" si="42"/>
        <v>16.7</v>
      </c>
      <c r="F136" s="2">
        <v>10</v>
      </c>
      <c r="G136" s="2">
        <v>15</v>
      </c>
      <c r="H136" s="12">
        <f t="shared" si="43"/>
        <v>15</v>
      </c>
      <c r="I136" s="2">
        <v>10</v>
      </c>
      <c r="J136" s="2">
        <v>15</v>
      </c>
      <c r="K136" s="12">
        <f t="shared" si="44"/>
        <v>15</v>
      </c>
      <c r="L136" s="2"/>
      <c r="M136" s="2"/>
      <c r="N136" s="12" t="str">
        <f t="shared" si="45"/>
        <v>—</v>
      </c>
      <c r="O136" s="2"/>
      <c r="P136" s="2"/>
      <c r="Q136" s="12" t="str">
        <f t="shared" si="46"/>
        <v>—</v>
      </c>
      <c r="R136" s="13">
        <f t="shared" si="47"/>
        <v>16.7</v>
      </c>
      <c r="S136" s="14" t="s">
        <v>40</v>
      </c>
      <c r="T136" s="14" t="s">
        <v>75</v>
      </c>
    </row>
    <row r="137" spans="1:20" ht="15.75" customHeight="1" x14ac:dyDescent="0.25">
      <c r="A137" s="15" t="s">
        <v>42</v>
      </c>
      <c r="B137" s="16" t="s">
        <v>43</v>
      </c>
      <c r="C137" s="2">
        <v>10</v>
      </c>
      <c r="D137" s="2">
        <v>11</v>
      </c>
      <c r="E137" s="12">
        <f t="shared" si="42"/>
        <v>13.7</v>
      </c>
      <c r="F137" s="2">
        <v>10</v>
      </c>
      <c r="G137" s="2">
        <v>9</v>
      </c>
      <c r="H137" s="12">
        <f t="shared" si="43"/>
        <v>13</v>
      </c>
      <c r="I137" s="2">
        <v>10</v>
      </c>
      <c r="J137" s="2">
        <v>8</v>
      </c>
      <c r="K137" s="12">
        <f t="shared" si="44"/>
        <v>12.7</v>
      </c>
      <c r="L137" s="2"/>
      <c r="M137" s="2"/>
      <c r="N137" s="12" t="str">
        <f t="shared" si="45"/>
        <v>—</v>
      </c>
      <c r="O137" s="2"/>
      <c r="P137" s="2"/>
      <c r="Q137" s="12" t="str">
        <f t="shared" si="46"/>
        <v>—</v>
      </c>
      <c r="R137" s="13">
        <f t="shared" si="47"/>
        <v>13.7</v>
      </c>
      <c r="S137" s="14" t="s">
        <v>40</v>
      </c>
      <c r="T137" s="14" t="s">
        <v>80</v>
      </c>
    </row>
    <row r="138" spans="1:20" ht="15.75" customHeight="1" x14ac:dyDescent="0.25">
      <c r="A138" s="10" t="s">
        <v>45</v>
      </c>
      <c r="B138" s="11" t="s">
        <v>46</v>
      </c>
      <c r="C138" s="2">
        <v>7.5</v>
      </c>
      <c r="D138" s="2">
        <v>12</v>
      </c>
      <c r="E138" s="12">
        <f t="shared" si="42"/>
        <v>10.5</v>
      </c>
      <c r="F138" s="2">
        <v>7.5</v>
      </c>
      <c r="G138" s="2">
        <v>10</v>
      </c>
      <c r="H138" s="12">
        <f t="shared" si="43"/>
        <v>10</v>
      </c>
      <c r="I138" s="2">
        <v>10</v>
      </c>
      <c r="J138" s="2">
        <v>6</v>
      </c>
      <c r="K138" s="12">
        <f t="shared" si="44"/>
        <v>12</v>
      </c>
      <c r="L138" s="2"/>
      <c r="M138" s="2"/>
      <c r="N138" s="12" t="str">
        <f t="shared" si="45"/>
        <v>—</v>
      </c>
      <c r="O138" s="2"/>
      <c r="P138" s="2"/>
      <c r="Q138" s="12" t="str">
        <f t="shared" si="46"/>
        <v>—</v>
      </c>
      <c r="R138" s="13">
        <f t="shared" si="47"/>
        <v>12</v>
      </c>
      <c r="S138" s="14" t="s">
        <v>40</v>
      </c>
      <c r="T138" s="14" t="s">
        <v>41</v>
      </c>
    </row>
    <row r="139" spans="1:20" ht="15.75" customHeight="1" x14ac:dyDescent="0.25">
      <c r="A139" s="15" t="s">
        <v>47</v>
      </c>
      <c r="B139" s="16" t="s">
        <v>48</v>
      </c>
      <c r="C139" s="2">
        <v>10</v>
      </c>
      <c r="D139" s="2">
        <v>7</v>
      </c>
      <c r="E139" s="12">
        <f t="shared" si="42"/>
        <v>12.3</v>
      </c>
      <c r="F139" s="2">
        <v>10</v>
      </c>
      <c r="G139" s="2">
        <v>6</v>
      </c>
      <c r="H139" s="12">
        <f t="shared" si="43"/>
        <v>12</v>
      </c>
      <c r="I139" s="2">
        <v>10</v>
      </c>
      <c r="J139" s="2">
        <v>6</v>
      </c>
      <c r="K139" s="12">
        <f t="shared" si="44"/>
        <v>12</v>
      </c>
      <c r="L139" s="2"/>
      <c r="M139" s="2"/>
      <c r="N139" s="12" t="str">
        <f t="shared" si="45"/>
        <v>—</v>
      </c>
      <c r="O139" s="2"/>
      <c r="P139" s="2"/>
      <c r="Q139" s="12" t="str">
        <f t="shared" si="46"/>
        <v>—</v>
      </c>
      <c r="R139" s="13">
        <f t="shared" si="47"/>
        <v>12.3</v>
      </c>
      <c r="S139" s="14" t="s">
        <v>40</v>
      </c>
      <c r="T139" s="14" t="s">
        <v>41</v>
      </c>
    </row>
    <row r="140" spans="1:20" ht="15.75" customHeight="1" x14ac:dyDescent="0.25">
      <c r="A140" s="10" t="s">
        <v>49</v>
      </c>
      <c r="B140" s="11" t="s">
        <v>50</v>
      </c>
      <c r="C140" s="2">
        <v>15</v>
      </c>
      <c r="D140" s="2">
        <v>14</v>
      </c>
      <c r="E140" s="12">
        <f t="shared" si="42"/>
        <v>22</v>
      </c>
      <c r="F140" s="2">
        <v>20</v>
      </c>
      <c r="G140" s="2">
        <v>11</v>
      </c>
      <c r="H140" s="12">
        <f t="shared" si="43"/>
        <v>27.3</v>
      </c>
      <c r="I140" s="2">
        <v>20</v>
      </c>
      <c r="J140" s="2">
        <v>9</v>
      </c>
      <c r="K140" s="12">
        <f t="shared" si="44"/>
        <v>26</v>
      </c>
      <c r="L140" s="2"/>
      <c r="M140" s="2"/>
      <c r="N140" s="12" t="str">
        <f t="shared" si="45"/>
        <v>—</v>
      </c>
      <c r="O140" s="2"/>
      <c r="P140" s="2"/>
      <c r="Q140" s="12" t="str">
        <f t="shared" si="46"/>
        <v>—</v>
      </c>
      <c r="R140" s="13">
        <f t="shared" si="47"/>
        <v>27.3</v>
      </c>
      <c r="S140" s="14" t="s">
        <v>40</v>
      </c>
      <c r="T140" s="14" t="s">
        <v>44</v>
      </c>
    </row>
    <row r="141" spans="1:20" ht="15.75" customHeight="1" x14ac:dyDescent="0.25">
      <c r="A141" s="15" t="s">
        <v>51</v>
      </c>
      <c r="B141" s="16" t="s">
        <v>52</v>
      </c>
      <c r="C141" s="2">
        <v>20</v>
      </c>
      <c r="D141" s="2">
        <v>6</v>
      </c>
      <c r="E141" s="12">
        <f t="shared" si="42"/>
        <v>24</v>
      </c>
      <c r="F141" s="2">
        <v>20</v>
      </c>
      <c r="G141" s="2">
        <v>6</v>
      </c>
      <c r="H141" s="12">
        <f t="shared" si="43"/>
        <v>24</v>
      </c>
      <c r="I141" s="2">
        <v>20</v>
      </c>
      <c r="J141" s="2">
        <v>4</v>
      </c>
      <c r="K141" s="12">
        <f t="shared" si="44"/>
        <v>22.7</v>
      </c>
      <c r="L141" s="2"/>
      <c r="M141" s="2"/>
      <c r="N141" s="12" t="str">
        <f t="shared" si="45"/>
        <v>—</v>
      </c>
      <c r="O141" s="2"/>
      <c r="P141" s="2"/>
      <c r="Q141" s="12" t="str">
        <f t="shared" si="46"/>
        <v>—</v>
      </c>
      <c r="R141" s="13">
        <f t="shared" si="47"/>
        <v>24</v>
      </c>
      <c r="S141" s="14" t="s">
        <v>40</v>
      </c>
      <c r="T141" s="14" t="s">
        <v>44</v>
      </c>
    </row>
    <row r="142" spans="1:20" ht="15.75" customHeight="1" x14ac:dyDescent="0.25">
      <c r="A142" s="10" t="s">
        <v>53</v>
      </c>
      <c r="B142" s="11" t="s">
        <v>54</v>
      </c>
      <c r="C142" s="2">
        <v>15</v>
      </c>
      <c r="D142" s="2">
        <v>7</v>
      </c>
      <c r="E142" s="12">
        <f t="shared" si="42"/>
        <v>18.5</v>
      </c>
      <c r="F142" s="2">
        <v>15</v>
      </c>
      <c r="G142" s="2">
        <v>7</v>
      </c>
      <c r="H142" s="12">
        <f t="shared" si="43"/>
        <v>18.5</v>
      </c>
      <c r="I142" s="2">
        <v>15</v>
      </c>
      <c r="J142" s="2">
        <v>4</v>
      </c>
      <c r="K142" s="12">
        <f t="shared" si="44"/>
        <v>17</v>
      </c>
      <c r="L142" s="2"/>
      <c r="M142" s="2"/>
      <c r="N142" s="12" t="str">
        <f t="shared" si="45"/>
        <v>—</v>
      </c>
      <c r="O142" s="2"/>
      <c r="P142" s="2"/>
      <c r="Q142" s="12" t="str">
        <f t="shared" si="46"/>
        <v>—</v>
      </c>
      <c r="R142" s="13">
        <f t="shared" si="47"/>
        <v>18.5</v>
      </c>
      <c r="S142" s="14" t="s">
        <v>55</v>
      </c>
      <c r="T142" s="14" t="s">
        <v>44</v>
      </c>
    </row>
    <row r="143" spans="1:20" ht="15.75" customHeight="1" x14ac:dyDescent="0.25">
      <c r="A143" s="15" t="s">
        <v>56</v>
      </c>
      <c r="B143" s="16" t="s">
        <v>57</v>
      </c>
      <c r="C143" s="2"/>
      <c r="D143" s="2"/>
      <c r="E143" s="12" t="str">
        <f t="shared" si="42"/>
        <v>—</v>
      </c>
      <c r="F143" s="2"/>
      <c r="G143" s="2"/>
      <c r="H143" s="12" t="str">
        <f t="shared" si="43"/>
        <v>—</v>
      </c>
      <c r="I143" s="2"/>
      <c r="J143" s="2"/>
      <c r="K143" s="12" t="str">
        <f t="shared" si="44"/>
        <v>—</v>
      </c>
      <c r="L143" s="2"/>
      <c r="M143" s="2"/>
      <c r="N143" s="12" t="str">
        <f t="shared" si="45"/>
        <v>—</v>
      </c>
      <c r="O143" s="2"/>
      <c r="P143" s="2"/>
      <c r="Q143" s="12" t="str">
        <f t="shared" si="46"/>
        <v>—</v>
      </c>
      <c r="R143" s="13">
        <f t="shared" si="47"/>
        <v>0</v>
      </c>
      <c r="S143" s="14"/>
      <c r="T143" s="14"/>
    </row>
    <row r="144" spans="1:20" ht="15.75" customHeight="1" x14ac:dyDescent="0.25">
      <c r="A144" s="10" t="s">
        <v>58</v>
      </c>
      <c r="B144" s="11"/>
      <c r="C144" s="2"/>
      <c r="D144" s="2"/>
      <c r="E144" s="12" t="str">
        <f t="shared" si="42"/>
        <v>—</v>
      </c>
      <c r="F144" s="2"/>
      <c r="G144" s="2"/>
      <c r="H144" s="12" t="str">
        <f t="shared" si="43"/>
        <v>—</v>
      </c>
      <c r="I144" s="2"/>
      <c r="J144" s="2"/>
      <c r="K144" s="12" t="str">
        <f t="shared" si="44"/>
        <v>—</v>
      </c>
      <c r="L144" s="2"/>
      <c r="M144" s="2"/>
      <c r="N144" s="12" t="str">
        <f t="shared" si="45"/>
        <v>—</v>
      </c>
      <c r="O144" s="2"/>
      <c r="P144" s="2"/>
      <c r="Q144" s="12" t="str">
        <f t="shared" si="46"/>
        <v>—</v>
      </c>
      <c r="R144" s="13">
        <f t="shared" si="47"/>
        <v>0</v>
      </c>
      <c r="S144" s="14"/>
      <c r="T144" s="14"/>
    </row>
    <row r="145" spans="1:20" ht="15.75" customHeight="1" x14ac:dyDescent="0.25">
      <c r="A145" s="15" t="s">
        <v>59</v>
      </c>
      <c r="B145" s="16"/>
      <c r="C145" s="2"/>
      <c r="D145" s="2"/>
      <c r="E145" s="12" t="str">
        <f t="shared" si="42"/>
        <v>—</v>
      </c>
      <c r="F145" s="2"/>
      <c r="G145" s="2"/>
      <c r="H145" s="12" t="str">
        <f t="shared" si="43"/>
        <v>—</v>
      </c>
      <c r="I145" s="2"/>
      <c r="J145" s="2"/>
      <c r="K145" s="12" t="str">
        <f t="shared" si="44"/>
        <v>—</v>
      </c>
      <c r="L145" s="2"/>
      <c r="M145" s="2"/>
      <c r="N145" s="12" t="str">
        <f t="shared" si="45"/>
        <v>—</v>
      </c>
      <c r="O145" s="2"/>
      <c r="P145" s="2"/>
      <c r="Q145" s="12" t="str">
        <f t="shared" si="46"/>
        <v>—</v>
      </c>
      <c r="R145" s="13">
        <f t="shared" si="47"/>
        <v>0</v>
      </c>
      <c r="S145" s="14"/>
      <c r="T145" s="14"/>
    </row>
    <row r="146" spans="1:20" ht="15.75" customHeight="1" x14ac:dyDescent="0.25">
      <c r="A146" s="10" t="s">
        <v>60</v>
      </c>
      <c r="B146" s="11"/>
      <c r="C146" s="2"/>
      <c r="D146" s="2"/>
      <c r="E146" s="12" t="str">
        <f t="shared" si="42"/>
        <v>—</v>
      </c>
      <c r="F146" s="2"/>
      <c r="G146" s="2"/>
      <c r="H146" s="12" t="str">
        <f t="shared" si="43"/>
        <v>—</v>
      </c>
      <c r="I146" s="2"/>
      <c r="J146" s="2"/>
      <c r="K146" s="12" t="str">
        <f t="shared" si="44"/>
        <v>—</v>
      </c>
      <c r="L146" s="2"/>
      <c r="M146" s="2"/>
      <c r="N146" s="12" t="str">
        <f t="shared" si="45"/>
        <v>—</v>
      </c>
      <c r="O146" s="2"/>
      <c r="P146" s="2"/>
      <c r="Q146" s="12" t="str">
        <f t="shared" si="46"/>
        <v>—</v>
      </c>
      <c r="R146" s="13">
        <f t="shared" si="47"/>
        <v>0</v>
      </c>
      <c r="S146" s="14"/>
      <c r="T146" s="14"/>
    </row>
    <row r="147" spans="1:20" ht="15.75" customHeight="1" x14ac:dyDescent="0.25">
      <c r="A147" s="15" t="s">
        <v>61</v>
      </c>
      <c r="B147" s="16"/>
      <c r="C147" s="2"/>
      <c r="D147" s="2"/>
      <c r="E147" s="12" t="str">
        <f t="shared" si="42"/>
        <v>—</v>
      </c>
      <c r="F147" s="2"/>
      <c r="G147" s="2"/>
      <c r="H147" s="12" t="str">
        <f t="shared" si="43"/>
        <v>—</v>
      </c>
      <c r="I147" s="2"/>
      <c r="J147" s="2"/>
      <c r="K147" s="12" t="str">
        <f t="shared" si="44"/>
        <v>—</v>
      </c>
      <c r="L147" s="2"/>
      <c r="M147" s="2"/>
      <c r="N147" s="12" t="str">
        <f t="shared" si="45"/>
        <v>—</v>
      </c>
      <c r="O147" s="2"/>
      <c r="P147" s="2"/>
      <c r="Q147" s="12" t="str">
        <f t="shared" si="46"/>
        <v>—</v>
      </c>
      <c r="R147" s="13">
        <f t="shared" si="47"/>
        <v>0</v>
      </c>
      <c r="S147" s="14" t="s">
        <v>97</v>
      </c>
      <c r="T147" s="14" t="s">
        <v>98</v>
      </c>
    </row>
    <row r="148" spans="1:20" ht="15.75" customHeight="1" x14ac:dyDescent="0.25">
      <c r="A148" s="42" t="s">
        <v>63</v>
      </c>
      <c r="B148" s="40"/>
    </row>
    <row r="149" spans="1:20" ht="15.75" customHeight="1" x14ac:dyDescent="0.25">
      <c r="A149" s="41" t="s">
        <v>64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40"/>
    </row>
    <row r="150" spans="1:20" ht="15.75" customHeight="1" x14ac:dyDescent="0.25">
      <c r="A150" s="1"/>
      <c r="B150" s="1"/>
    </row>
    <row r="151" spans="1:20" ht="15.75" customHeight="1" x14ac:dyDescent="0.25">
      <c r="A151" s="17" t="s">
        <v>2</v>
      </c>
      <c r="B151" s="18"/>
      <c r="C151" s="19" t="s">
        <v>3</v>
      </c>
      <c r="D151" s="20"/>
      <c r="E151" s="19" t="s">
        <v>4</v>
      </c>
      <c r="F151" s="20"/>
      <c r="G151" s="19" t="s">
        <v>5</v>
      </c>
      <c r="H151" s="20"/>
      <c r="I151" s="19" t="s">
        <v>6</v>
      </c>
      <c r="J151" s="20"/>
      <c r="K151" s="19" t="s">
        <v>7</v>
      </c>
      <c r="L151" s="20"/>
      <c r="M151" s="19" t="s">
        <v>8</v>
      </c>
      <c r="N151" s="20"/>
      <c r="O151" s="19" t="s">
        <v>9</v>
      </c>
      <c r="P151" s="20"/>
    </row>
    <row r="152" spans="1:20" ht="15.75" customHeight="1" x14ac:dyDescent="0.25">
      <c r="A152" s="21" t="s">
        <v>105</v>
      </c>
      <c r="B152" s="21" t="s">
        <v>11</v>
      </c>
      <c r="C152" s="22" t="s">
        <v>12</v>
      </c>
      <c r="D152" s="22" t="s">
        <v>13</v>
      </c>
      <c r="E152" s="22" t="s">
        <v>14</v>
      </c>
      <c r="F152" s="22" t="s">
        <v>15</v>
      </c>
      <c r="G152" s="22" t="s">
        <v>16</v>
      </c>
      <c r="H152" s="22" t="s">
        <v>17</v>
      </c>
      <c r="I152" s="22" t="s">
        <v>18</v>
      </c>
      <c r="J152" s="22" t="s">
        <v>19</v>
      </c>
      <c r="K152" s="22" t="s">
        <v>20</v>
      </c>
      <c r="L152" s="22" t="s">
        <v>21</v>
      </c>
      <c r="M152" s="22" t="s">
        <v>22</v>
      </c>
      <c r="N152" s="22" t="s">
        <v>23</v>
      </c>
      <c r="O152" s="22" t="s">
        <v>24</v>
      </c>
      <c r="P152" s="22" t="s">
        <v>25</v>
      </c>
      <c r="Q152" s="22" t="s">
        <v>26</v>
      </c>
      <c r="R152" s="22" t="s">
        <v>27</v>
      </c>
      <c r="S152" s="22" t="s">
        <v>28</v>
      </c>
      <c r="T152" s="22" t="s">
        <v>29</v>
      </c>
    </row>
    <row r="153" spans="1:20" ht="15.75" customHeight="1" x14ac:dyDescent="0.25">
      <c r="A153" s="23" t="s">
        <v>106</v>
      </c>
      <c r="B153" s="24" t="s">
        <v>107</v>
      </c>
      <c r="C153" s="2"/>
      <c r="D153" s="2"/>
      <c r="E153" s="12" t="str">
        <f t="shared" ref="E153:E163" si="48">IF(AND(ISNUMBER(C153),ISNUMBER(D153)),ROUND(C153*(1+D153/30),1),"—")</f>
        <v>—</v>
      </c>
      <c r="F153" s="2"/>
      <c r="G153" s="2"/>
      <c r="H153" s="12" t="str">
        <f t="shared" ref="H153:H163" si="49">IF(AND(ISNUMBER(F153),ISNUMBER(G153)),ROUND(F153*(1+G153/30),1),"—")</f>
        <v>—</v>
      </c>
      <c r="I153" s="2"/>
      <c r="J153" s="2"/>
      <c r="K153" s="12" t="str">
        <f t="shared" ref="K153:K163" si="50">IF(AND(ISNUMBER(I153),ISNUMBER(J153)),ROUND(I153*(1+J153/30),1),"—")</f>
        <v>—</v>
      </c>
      <c r="L153" s="2"/>
      <c r="M153" s="2"/>
      <c r="N153" s="12" t="str">
        <f t="shared" ref="N153:N163" si="51">IF(AND(ISNUMBER(L153),ISNUMBER(M153)),ROUND(L153*(1+M153/30),1),"—")</f>
        <v>—</v>
      </c>
      <c r="O153" s="2"/>
      <c r="P153" s="2"/>
      <c r="Q153" s="12" t="str">
        <f t="shared" ref="Q153:Q163" si="52">IF(AND(ISNUMBER(O153),ISNUMBER(P153)),ROUND(O153*(1+P153/30),1),"—")</f>
        <v>—</v>
      </c>
      <c r="R153" s="25">
        <f t="shared" ref="R153:R163" si="53">IFERROR(MAX(IFERROR(VALUE(E153),0),IFERROR(VALUE(H153),0),IFERROR(VALUE(K153),0),IFERROR(VALUE(N153),0),IFERROR(VALUE(Q153),0)),"—")</f>
        <v>0</v>
      </c>
      <c r="S153" s="14"/>
      <c r="T153" s="14"/>
    </row>
    <row r="154" spans="1:20" ht="15.75" customHeight="1" x14ac:dyDescent="0.25">
      <c r="A154" s="26" t="s">
        <v>108</v>
      </c>
      <c r="B154" s="16" t="s">
        <v>33</v>
      </c>
      <c r="C154" s="2"/>
      <c r="D154" s="2"/>
      <c r="E154" s="12" t="str">
        <f t="shared" si="48"/>
        <v>—</v>
      </c>
      <c r="F154" s="2"/>
      <c r="G154" s="2"/>
      <c r="H154" s="12" t="str">
        <f t="shared" si="49"/>
        <v>—</v>
      </c>
      <c r="I154" s="2"/>
      <c r="J154" s="2"/>
      <c r="K154" s="12" t="str">
        <f t="shared" si="50"/>
        <v>—</v>
      </c>
      <c r="L154" s="2"/>
      <c r="M154" s="2"/>
      <c r="N154" s="12" t="str">
        <f t="shared" si="51"/>
        <v>—</v>
      </c>
      <c r="O154" s="2"/>
      <c r="P154" s="2"/>
      <c r="Q154" s="12" t="str">
        <f t="shared" si="52"/>
        <v>—</v>
      </c>
      <c r="R154" s="25">
        <f t="shared" si="53"/>
        <v>0</v>
      </c>
      <c r="S154" s="14"/>
      <c r="T154" s="14"/>
    </row>
    <row r="155" spans="1:20" ht="15.75" customHeight="1" x14ac:dyDescent="0.25">
      <c r="A155" s="23" t="s">
        <v>109</v>
      </c>
      <c r="B155" s="24" t="s">
        <v>110</v>
      </c>
      <c r="C155" s="2"/>
      <c r="D155" s="2"/>
      <c r="E155" s="12" t="str">
        <f t="shared" si="48"/>
        <v>—</v>
      </c>
      <c r="F155" s="2"/>
      <c r="G155" s="2"/>
      <c r="H155" s="12" t="str">
        <f t="shared" si="49"/>
        <v>—</v>
      </c>
      <c r="I155" s="2"/>
      <c r="J155" s="2"/>
      <c r="K155" s="12" t="str">
        <f t="shared" si="50"/>
        <v>—</v>
      </c>
      <c r="L155" s="2"/>
      <c r="M155" s="2"/>
      <c r="N155" s="12" t="str">
        <f t="shared" si="51"/>
        <v>—</v>
      </c>
      <c r="O155" s="2"/>
      <c r="P155" s="2"/>
      <c r="Q155" s="12" t="str">
        <f t="shared" si="52"/>
        <v>—</v>
      </c>
      <c r="R155" s="25">
        <f t="shared" si="53"/>
        <v>0</v>
      </c>
      <c r="S155" s="14"/>
      <c r="T155" s="14"/>
    </row>
    <row r="156" spans="1:20" ht="15.75" customHeight="1" x14ac:dyDescent="0.25">
      <c r="A156" s="26" t="s">
        <v>111</v>
      </c>
      <c r="B156" s="16" t="s">
        <v>112</v>
      </c>
      <c r="C156" s="2"/>
      <c r="D156" s="2"/>
      <c r="E156" s="12" t="str">
        <f t="shared" si="48"/>
        <v>—</v>
      </c>
      <c r="F156" s="2"/>
      <c r="G156" s="2"/>
      <c r="H156" s="12" t="str">
        <f t="shared" si="49"/>
        <v>—</v>
      </c>
      <c r="I156" s="2"/>
      <c r="J156" s="2"/>
      <c r="K156" s="12" t="str">
        <f t="shared" si="50"/>
        <v>—</v>
      </c>
      <c r="L156" s="2"/>
      <c r="M156" s="2"/>
      <c r="N156" s="12" t="str">
        <f t="shared" si="51"/>
        <v>—</v>
      </c>
      <c r="O156" s="2"/>
      <c r="P156" s="2"/>
      <c r="Q156" s="12" t="str">
        <f t="shared" si="52"/>
        <v>—</v>
      </c>
      <c r="R156" s="25">
        <f t="shared" si="53"/>
        <v>0</v>
      </c>
      <c r="S156" s="14"/>
      <c r="T156" s="14"/>
    </row>
    <row r="157" spans="1:20" ht="15.75" customHeight="1" x14ac:dyDescent="0.25">
      <c r="A157" s="23" t="s">
        <v>113</v>
      </c>
      <c r="B157" s="24" t="s">
        <v>114</v>
      </c>
      <c r="C157" s="2"/>
      <c r="D157" s="2">
        <v>3</v>
      </c>
      <c r="E157" s="12" t="str">
        <f t="shared" si="48"/>
        <v>—</v>
      </c>
      <c r="F157" s="2"/>
      <c r="G157" s="2">
        <v>2</v>
      </c>
      <c r="H157" s="12" t="str">
        <f t="shared" si="49"/>
        <v>—</v>
      </c>
      <c r="I157" s="2"/>
      <c r="J157" s="2">
        <v>2</v>
      </c>
      <c r="K157" s="12" t="str">
        <f t="shared" si="50"/>
        <v>—</v>
      </c>
      <c r="L157" s="2"/>
      <c r="M157" s="2"/>
      <c r="N157" s="12" t="str">
        <f t="shared" si="51"/>
        <v>—</v>
      </c>
      <c r="O157" s="2"/>
      <c r="P157" s="2"/>
      <c r="Q157" s="12" t="str">
        <f t="shared" si="52"/>
        <v>—</v>
      </c>
      <c r="R157" s="25">
        <f t="shared" si="53"/>
        <v>0</v>
      </c>
      <c r="S157" s="14" t="s">
        <v>40</v>
      </c>
      <c r="T157" s="14" t="s">
        <v>115</v>
      </c>
    </row>
    <row r="158" spans="1:20" ht="15.75" customHeight="1" x14ac:dyDescent="0.25">
      <c r="A158" s="26" t="s">
        <v>116</v>
      </c>
      <c r="B158" s="16" t="s">
        <v>117</v>
      </c>
      <c r="C158" s="2">
        <v>7.5</v>
      </c>
      <c r="D158" s="2">
        <v>10</v>
      </c>
      <c r="E158" s="12">
        <f t="shared" si="48"/>
        <v>10</v>
      </c>
      <c r="F158" s="2">
        <v>10</v>
      </c>
      <c r="G158" s="2">
        <v>10</v>
      </c>
      <c r="H158" s="12">
        <f t="shared" si="49"/>
        <v>13.3</v>
      </c>
      <c r="I158" s="2">
        <v>10</v>
      </c>
      <c r="J158" s="2">
        <v>10</v>
      </c>
      <c r="K158" s="12">
        <f t="shared" si="50"/>
        <v>13.3</v>
      </c>
      <c r="L158" s="2">
        <v>10</v>
      </c>
      <c r="M158" s="2">
        <v>10</v>
      </c>
      <c r="N158" s="12">
        <f t="shared" si="51"/>
        <v>13.3</v>
      </c>
      <c r="O158" s="2"/>
      <c r="P158" s="2"/>
      <c r="Q158" s="12" t="str">
        <f t="shared" si="52"/>
        <v>—</v>
      </c>
      <c r="R158" s="25">
        <f t="shared" si="53"/>
        <v>13.3</v>
      </c>
      <c r="S158" s="14" t="s">
        <v>40</v>
      </c>
      <c r="T158" s="14" t="s">
        <v>103</v>
      </c>
    </row>
    <row r="159" spans="1:20" ht="15.75" customHeight="1" x14ac:dyDescent="0.25">
      <c r="A159" s="23" t="s">
        <v>118</v>
      </c>
      <c r="B159" s="24" t="s">
        <v>119</v>
      </c>
      <c r="C159" s="2">
        <v>25</v>
      </c>
      <c r="D159" s="2">
        <v>15</v>
      </c>
      <c r="E159" s="12">
        <f t="shared" si="48"/>
        <v>37.5</v>
      </c>
      <c r="F159" s="2">
        <v>30</v>
      </c>
      <c r="G159" s="2">
        <v>12</v>
      </c>
      <c r="H159" s="12">
        <f t="shared" si="49"/>
        <v>42</v>
      </c>
      <c r="I159" s="2">
        <v>30</v>
      </c>
      <c r="J159" s="2">
        <v>10</v>
      </c>
      <c r="K159" s="12">
        <f t="shared" si="50"/>
        <v>40</v>
      </c>
      <c r="L159" s="2"/>
      <c r="M159" s="2"/>
      <c r="N159" s="12" t="str">
        <f t="shared" si="51"/>
        <v>—</v>
      </c>
      <c r="O159" s="2"/>
      <c r="P159" s="2"/>
      <c r="Q159" s="12" t="str">
        <f t="shared" si="52"/>
        <v>—</v>
      </c>
      <c r="R159" s="25">
        <f t="shared" si="53"/>
        <v>42</v>
      </c>
      <c r="S159" s="14" t="s">
        <v>40</v>
      </c>
      <c r="T159" s="14" t="s">
        <v>103</v>
      </c>
    </row>
    <row r="160" spans="1:20" ht="15.75" customHeight="1" x14ac:dyDescent="0.25">
      <c r="A160" s="26" t="s">
        <v>120</v>
      </c>
      <c r="B160" s="16" t="s">
        <v>121</v>
      </c>
      <c r="C160" s="2">
        <v>10</v>
      </c>
      <c r="D160" s="2">
        <v>8</v>
      </c>
      <c r="E160" s="12">
        <f t="shared" si="48"/>
        <v>12.7</v>
      </c>
      <c r="F160" s="2">
        <v>10</v>
      </c>
      <c r="G160" s="2">
        <v>8</v>
      </c>
      <c r="H160" s="12">
        <f t="shared" si="49"/>
        <v>12.7</v>
      </c>
      <c r="I160" s="2">
        <v>10</v>
      </c>
      <c r="J160" s="2">
        <v>7</v>
      </c>
      <c r="K160" s="12">
        <f t="shared" si="50"/>
        <v>12.3</v>
      </c>
      <c r="L160" s="2"/>
      <c r="M160" s="2"/>
      <c r="N160" s="12" t="str">
        <f t="shared" si="51"/>
        <v>—</v>
      </c>
      <c r="O160" s="2"/>
      <c r="P160" s="2"/>
      <c r="Q160" s="12" t="str">
        <f t="shared" si="52"/>
        <v>—</v>
      </c>
      <c r="R160" s="25">
        <f t="shared" si="53"/>
        <v>12.7</v>
      </c>
      <c r="S160" s="14" t="s">
        <v>40</v>
      </c>
      <c r="T160" s="14" t="s">
        <v>44</v>
      </c>
    </row>
    <row r="161" spans="1:20" ht="15.75" customHeight="1" x14ac:dyDescent="0.25">
      <c r="A161" s="23" t="s">
        <v>122</v>
      </c>
      <c r="B161" s="24" t="s">
        <v>123</v>
      </c>
      <c r="C161" s="2">
        <v>10</v>
      </c>
      <c r="D161" s="2">
        <v>10</v>
      </c>
      <c r="E161" s="12">
        <f t="shared" si="48"/>
        <v>13.3</v>
      </c>
      <c r="F161" s="2">
        <v>10</v>
      </c>
      <c r="G161" s="2">
        <v>10</v>
      </c>
      <c r="H161" s="12">
        <f t="shared" si="49"/>
        <v>13.3</v>
      </c>
      <c r="I161" s="2">
        <v>10</v>
      </c>
      <c r="J161" s="2">
        <v>9</v>
      </c>
      <c r="K161" s="12">
        <f t="shared" si="50"/>
        <v>13</v>
      </c>
      <c r="L161" s="2"/>
      <c r="M161" s="2"/>
      <c r="N161" s="12" t="str">
        <f t="shared" si="51"/>
        <v>—</v>
      </c>
      <c r="O161" s="2"/>
      <c r="P161" s="2"/>
      <c r="Q161" s="12" t="str">
        <f t="shared" si="52"/>
        <v>—</v>
      </c>
      <c r="R161" s="25">
        <f t="shared" si="53"/>
        <v>13.3</v>
      </c>
      <c r="S161" s="14" t="s">
        <v>40</v>
      </c>
      <c r="T161" s="14" t="s">
        <v>44</v>
      </c>
    </row>
    <row r="162" spans="1:20" ht="15.75" customHeight="1" x14ac:dyDescent="0.25">
      <c r="A162" s="26" t="s">
        <v>124</v>
      </c>
      <c r="B162" s="16" t="s">
        <v>125</v>
      </c>
      <c r="C162" s="2">
        <v>10</v>
      </c>
      <c r="D162" s="2">
        <v>9</v>
      </c>
      <c r="E162" s="12">
        <f t="shared" si="48"/>
        <v>13</v>
      </c>
      <c r="F162" s="2">
        <v>10</v>
      </c>
      <c r="G162" s="2">
        <v>7</v>
      </c>
      <c r="H162" s="12">
        <f t="shared" si="49"/>
        <v>12.3</v>
      </c>
      <c r="I162" s="2">
        <v>10</v>
      </c>
      <c r="J162" s="2">
        <v>7</v>
      </c>
      <c r="K162" s="12">
        <f t="shared" si="50"/>
        <v>12.3</v>
      </c>
      <c r="L162" s="2"/>
      <c r="M162" s="2"/>
      <c r="N162" s="12" t="str">
        <f t="shared" si="51"/>
        <v>—</v>
      </c>
      <c r="O162" s="2"/>
      <c r="P162" s="2"/>
      <c r="Q162" s="12" t="str">
        <f t="shared" si="52"/>
        <v>—</v>
      </c>
      <c r="R162" s="25">
        <f t="shared" si="53"/>
        <v>13</v>
      </c>
      <c r="S162" s="14" t="s">
        <v>40</v>
      </c>
      <c r="T162" s="14" t="s">
        <v>103</v>
      </c>
    </row>
    <row r="163" spans="1:20" ht="15.75" customHeight="1" x14ac:dyDescent="0.25">
      <c r="A163" s="23" t="s">
        <v>126</v>
      </c>
      <c r="B163" s="24" t="s">
        <v>127</v>
      </c>
      <c r="C163" s="2">
        <v>10</v>
      </c>
      <c r="D163" s="2">
        <v>6</v>
      </c>
      <c r="E163" s="12">
        <f t="shared" si="48"/>
        <v>12</v>
      </c>
      <c r="F163" s="2">
        <v>10</v>
      </c>
      <c r="G163" s="2">
        <v>5</v>
      </c>
      <c r="H163" s="12">
        <f t="shared" si="49"/>
        <v>11.7</v>
      </c>
      <c r="I163" s="2">
        <v>10</v>
      </c>
      <c r="J163" s="2">
        <v>4</v>
      </c>
      <c r="K163" s="12">
        <f t="shared" si="50"/>
        <v>11.3</v>
      </c>
      <c r="L163" s="2"/>
      <c r="M163" s="2"/>
      <c r="N163" s="12" t="str">
        <f t="shared" si="51"/>
        <v>—</v>
      </c>
      <c r="O163" s="2"/>
      <c r="P163" s="2"/>
      <c r="Q163" s="12" t="str">
        <f t="shared" si="52"/>
        <v>—</v>
      </c>
      <c r="R163" s="25">
        <f t="shared" si="53"/>
        <v>12</v>
      </c>
      <c r="S163" s="14"/>
      <c r="T163" s="14"/>
    </row>
    <row r="164" spans="1:20" ht="15.75" customHeight="1" x14ac:dyDescent="0.25">
      <c r="A164" s="26" t="s">
        <v>167</v>
      </c>
      <c r="B164" s="16"/>
      <c r="C164" s="2">
        <v>7.5</v>
      </c>
      <c r="D164" s="2">
        <v>8</v>
      </c>
      <c r="E164" s="12"/>
      <c r="F164" s="2">
        <v>7.5</v>
      </c>
      <c r="G164" s="2">
        <v>6</v>
      </c>
      <c r="H164" s="12"/>
      <c r="I164" s="2">
        <v>7.5</v>
      </c>
      <c r="J164" s="2">
        <v>4</v>
      </c>
      <c r="K164" s="12"/>
      <c r="L164" s="2"/>
      <c r="M164" s="2"/>
      <c r="N164" s="12"/>
      <c r="O164" s="2"/>
      <c r="P164" s="2"/>
      <c r="Q164" s="12"/>
      <c r="R164" s="25"/>
      <c r="S164" s="14"/>
      <c r="T164" s="14"/>
    </row>
    <row r="165" spans="1:20" ht="15.75" customHeight="1" x14ac:dyDescent="0.25">
      <c r="A165" s="26" t="s">
        <v>128</v>
      </c>
      <c r="B165" s="16" t="s">
        <v>129</v>
      </c>
      <c r="C165" s="2"/>
      <c r="D165" s="2"/>
      <c r="E165" s="12" t="str">
        <f t="shared" ref="E165:E169" si="54">IF(AND(ISNUMBER(C165),ISNUMBER(D165)),ROUND(C165*(1+D165/30),1),"—")</f>
        <v>—</v>
      </c>
      <c r="F165" s="2"/>
      <c r="G165" s="2"/>
      <c r="H165" s="12" t="str">
        <f t="shared" ref="H165:H169" si="55">IF(AND(ISNUMBER(F165),ISNUMBER(G165)),ROUND(F165*(1+G165/30),1),"—")</f>
        <v>—</v>
      </c>
      <c r="I165" s="2"/>
      <c r="J165" s="2"/>
      <c r="K165" s="12" t="str">
        <f t="shared" ref="K165:K169" si="56">IF(AND(ISNUMBER(I165),ISNUMBER(J165)),ROUND(I165*(1+J165/30),1),"—")</f>
        <v>—</v>
      </c>
      <c r="L165" s="2"/>
      <c r="M165" s="2"/>
      <c r="N165" s="12" t="str">
        <f t="shared" ref="N165:N169" si="57">IF(AND(ISNUMBER(L165),ISNUMBER(M165)),ROUND(L165*(1+M165/30),1),"—")</f>
        <v>—</v>
      </c>
      <c r="O165" s="2"/>
      <c r="P165" s="2"/>
      <c r="Q165" s="12" t="str">
        <f t="shared" ref="Q165:Q169" si="58">IF(AND(ISNUMBER(O165),ISNUMBER(P165)),ROUND(O165*(1+P165/30),1),"—")</f>
        <v>—</v>
      </c>
      <c r="R165" s="25">
        <f t="shared" ref="R165:R169" si="59">IFERROR(MAX(IFERROR(VALUE(E165),0),IFERROR(VALUE(H165),0),IFERROR(VALUE(K165),0),IFERROR(VALUE(N165),0),IFERROR(VALUE(Q165),0)),"—")</f>
        <v>0</v>
      </c>
      <c r="S165" s="14"/>
      <c r="T165" s="14"/>
    </row>
    <row r="166" spans="1:20" ht="15.75" customHeight="1" x14ac:dyDescent="0.25">
      <c r="A166" s="23" t="s">
        <v>130</v>
      </c>
      <c r="B166" s="24" t="s">
        <v>131</v>
      </c>
      <c r="C166" s="2"/>
      <c r="D166" s="2"/>
      <c r="E166" s="12" t="str">
        <f t="shared" si="54"/>
        <v>—</v>
      </c>
      <c r="F166" s="2"/>
      <c r="G166" s="2"/>
      <c r="H166" s="12" t="str">
        <f t="shared" si="55"/>
        <v>—</v>
      </c>
      <c r="I166" s="2"/>
      <c r="J166" s="2"/>
      <c r="K166" s="12" t="str">
        <f t="shared" si="56"/>
        <v>—</v>
      </c>
      <c r="L166" s="2"/>
      <c r="M166" s="2"/>
      <c r="N166" s="12" t="str">
        <f t="shared" si="57"/>
        <v>—</v>
      </c>
      <c r="O166" s="2"/>
      <c r="P166" s="2"/>
      <c r="Q166" s="12" t="str">
        <f t="shared" si="58"/>
        <v>—</v>
      </c>
      <c r="R166" s="25">
        <f t="shared" si="59"/>
        <v>0</v>
      </c>
      <c r="S166" s="14"/>
      <c r="T166" s="14"/>
    </row>
    <row r="167" spans="1:20" ht="15.75" customHeight="1" x14ac:dyDescent="0.25">
      <c r="A167" s="26" t="s">
        <v>132</v>
      </c>
      <c r="B167" s="16" t="s">
        <v>133</v>
      </c>
      <c r="C167" s="2"/>
      <c r="D167" s="2"/>
      <c r="E167" s="12" t="str">
        <f t="shared" si="54"/>
        <v>—</v>
      </c>
      <c r="F167" s="2"/>
      <c r="G167" s="2"/>
      <c r="H167" s="12" t="str">
        <f t="shared" si="55"/>
        <v>—</v>
      </c>
      <c r="I167" s="2"/>
      <c r="J167" s="2"/>
      <c r="K167" s="12" t="str">
        <f t="shared" si="56"/>
        <v>—</v>
      </c>
      <c r="L167" s="2"/>
      <c r="M167" s="2"/>
      <c r="N167" s="12" t="str">
        <f t="shared" si="57"/>
        <v>—</v>
      </c>
      <c r="O167" s="2"/>
      <c r="P167" s="2"/>
      <c r="Q167" s="12" t="str">
        <f t="shared" si="58"/>
        <v>—</v>
      </c>
      <c r="R167" s="25">
        <f t="shared" si="59"/>
        <v>0</v>
      </c>
      <c r="S167" s="14"/>
      <c r="T167" s="14"/>
    </row>
    <row r="168" spans="1:20" ht="15.75" customHeight="1" x14ac:dyDescent="0.25">
      <c r="A168" s="23" t="s">
        <v>134</v>
      </c>
      <c r="B168" s="24" t="s">
        <v>133</v>
      </c>
      <c r="C168" s="2"/>
      <c r="D168" s="2"/>
      <c r="E168" s="12" t="str">
        <f t="shared" si="54"/>
        <v>—</v>
      </c>
      <c r="F168" s="2"/>
      <c r="G168" s="2"/>
      <c r="H168" s="12" t="str">
        <f t="shared" si="55"/>
        <v>—</v>
      </c>
      <c r="I168" s="2"/>
      <c r="J168" s="2"/>
      <c r="K168" s="12" t="str">
        <f t="shared" si="56"/>
        <v>—</v>
      </c>
      <c r="L168" s="2"/>
      <c r="M168" s="2"/>
      <c r="N168" s="12" t="str">
        <f t="shared" si="57"/>
        <v>—</v>
      </c>
      <c r="O168" s="2"/>
      <c r="P168" s="2"/>
      <c r="Q168" s="12" t="str">
        <f t="shared" si="58"/>
        <v>—</v>
      </c>
      <c r="R168" s="25">
        <f t="shared" si="59"/>
        <v>0</v>
      </c>
      <c r="S168" s="14"/>
      <c r="T168" s="14"/>
    </row>
    <row r="169" spans="1:20" ht="15.75" customHeight="1" x14ac:dyDescent="0.25">
      <c r="A169" s="26" t="s">
        <v>135</v>
      </c>
      <c r="B169" s="16" t="s">
        <v>99</v>
      </c>
      <c r="C169" s="2"/>
      <c r="D169" s="2"/>
      <c r="E169" s="12" t="str">
        <f t="shared" si="54"/>
        <v>—</v>
      </c>
      <c r="F169" s="2"/>
      <c r="G169" s="2"/>
      <c r="H169" s="12" t="str">
        <f t="shared" si="55"/>
        <v>—</v>
      </c>
      <c r="I169" s="2"/>
      <c r="J169" s="2"/>
      <c r="K169" s="12" t="str">
        <f t="shared" si="56"/>
        <v>—</v>
      </c>
      <c r="L169" s="2"/>
      <c r="M169" s="2"/>
      <c r="N169" s="12" t="str">
        <f t="shared" si="57"/>
        <v>—</v>
      </c>
      <c r="O169" s="2"/>
      <c r="P169" s="2"/>
      <c r="Q169" s="12" t="str">
        <f t="shared" si="58"/>
        <v>—</v>
      </c>
      <c r="R169" s="25">
        <f t="shared" si="59"/>
        <v>0</v>
      </c>
      <c r="S169" s="14"/>
      <c r="T169" s="14"/>
    </row>
    <row r="170" spans="1:20" ht="15.75" customHeight="1" x14ac:dyDescent="0.25">
      <c r="A170" s="42" t="s">
        <v>63</v>
      </c>
      <c r="B170" s="40"/>
    </row>
    <row r="171" spans="1:20" ht="15.75" customHeight="1" x14ac:dyDescent="0.25">
      <c r="A171" s="41" t="s">
        <v>64</v>
      </c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40"/>
    </row>
    <row r="173" spans="1:20" ht="21.75" customHeight="1" x14ac:dyDescent="0.25">
      <c r="A173" s="27" t="s">
        <v>2</v>
      </c>
      <c r="B173" s="28"/>
      <c r="C173" s="29" t="s">
        <v>3</v>
      </c>
      <c r="D173" s="30"/>
      <c r="E173" s="29" t="s">
        <v>4</v>
      </c>
      <c r="F173" s="30"/>
      <c r="G173" s="29" t="s">
        <v>5</v>
      </c>
      <c r="H173" s="30" t="s">
        <v>170</v>
      </c>
      <c r="I173" s="29" t="s">
        <v>6</v>
      </c>
      <c r="J173" s="30"/>
      <c r="K173" s="29" t="s">
        <v>7</v>
      </c>
      <c r="L173" s="30"/>
      <c r="M173" s="29" t="s">
        <v>8</v>
      </c>
      <c r="N173" s="30"/>
      <c r="O173" s="29" t="s">
        <v>9</v>
      </c>
      <c r="P173" s="30"/>
    </row>
    <row r="174" spans="1:20" ht="36" customHeight="1" x14ac:dyDescent="0.25">
      <c r="A174" s="31" t="s">
        <v>171</v>
      </c>
      <c r="B174" s="31" t="s">
        <v>11</v>
      </c>
      <c r="C174" s="32" t="s">
        <v>12</v>
      </c>
      <c r="D174" s="32" t="s">
        <v>13</v>
      </c>
      <c r="E174" s="32" t="s">
        <v>14</v>
      </c>
      <c r="F174" s="32" t="s">
        <v>15</v>
      </c>
      <c r="G174" s="32" t="s">
        <v>16</v>
      </c>
      <c r="H174" s="32" t="s">
        <v>17</v>
      </c>
      <c r="I174" s="32" t="s">
        <v>18</v>
      </c>
      <c r="J174" s="32" t="s">
        <v>19</v>
      </c>
      <c r="K174" s="32" t="s">
        <v>20</v>
      </c>
      <c r="L174" s="32" t="s">
        <v>21</v>
      </c>
      <c r="M174" s="32" t="s">
        <v>22</v>
      </c>
      <c r="N174" s="32" t="s">
        <v>23</v>
      </c>
      <c r="O174" s="32" t="s">
        <v>24</v>
      </c>
      <c r="P174" s="32" t="s">
        <v>25</v>
      </c>
      <c r="Q174" s="32" t="s">
        <v>26</v>
      </c>
      <c r="R174" s="32" t="s">
        <v>27</v>
      </c>
      <c r="S174" s="32" t="s">
        <v>28</v>
      </c>
      <c r="T174" s="32" t="s">
        <v>29</v>
      </c>
    </row>
    <row r="175" spans="1:20" ht="21.75" customHeight="1" x14ac:dyDescent="0.25">
      <c r="A175" s="33" t="s">
        <v>172</v>
      </c>
      <c r="B175" s="16" t="s">
        <v>173</v>
      </c>
      <c r="C175" s="2"/>
      <c r="D175" s="2"/>
      <c r="E175" s="12" t="str">
        <f t="shared" ref="E175:E190" si="60">IF(AND(ISNUMBER(C175),ISNUMBER(D175)),ROUND(C175*(1+D175/30),1),"—")</f>
        <v>—</v>
      </c>
      <c r="F175" s="2"/>
      <c r="G175" s="2"/>
      <c r="H175" s="12" t="str">
        <f t="shared" ref="H175:H190" si="61">IF(AND(ISNUMBER(F175),ISNUMBER(G175)),ROUND(F175*(1+G175/30),1),"—")</f>
        <v>—</v>
      </c>
      <c r="I175" s="2"/>
      <c r="J175" s="2"/>
      <c r="K175" s="12" t="str">
        <f t="shared" ref="K175:K190" si="62">IF(AND(ISNUMBER(I175),ISNUMBER(J175)),ROUND(I175*(1+J175/30),1),"—")</f>
        <v>—</v>
      </c>
      <c r="L175" s="2"/>
      <c r="M175" s="2"/>
      <c r="N175" s="12" t="str">
        <f t="shared" ref="N175:N190" si="63">IF(AND(ISNUMBER(L175),ISNUMBER(M175)),ROUND(L175*(1+M175/30),1),"—")</f>
        <v>—</v>
      </c>
      <c r="O175" s="2"/>
      <c r="P175" s="2"/>
      <c r="Q175" s="12" t="str">
        <f t="shared" ref="Q175:Q190" si="64">IF(AND(ISNUMBER(O175),ISNUMBER(P175)),ROUND(O175*(1+P175/30),1),"—")</f>
        <v>—</v>
      </c>
      <c r="R175" s="34">
        <f t="shared" ref="R175:R190" si="65">IFERROR(MAX(IFERROR(VALUE(E175),0),IFERROR(VALUE(H175),0),IFERROR(VALUE(K175),0),IFERROR(VALUE(N175),0),IFERROR(VALUE(Q175),0)),"—")</f>
        <v>0</v>
      </c>
      <c r="S175" s="14"/>
      <c r="T175" s="14"/>
    </row>
    <row r="176" spans="1:20" ht="21.75" customHeight="1" x14ac:dyDescent="0.25">
      <c r="A176" s="35" t="s">
        <v>174</v>
      </c>
      <c r="B176" s="36" t="s">
        <v>175</v>
      </c>
      <c r="C176" s="2"/>
      <c r="D176" s="2"/>
      <c r="E176" s="12" t="str">
        <f t="shared" si="60"/>
        <v>—</v>
      </c>
      <c r="F176" s="2"/>
      <c r="G176" s="2"/>
      <c r="H176" s="12" t="str">
        <f t="shared" si="61"/>
        <v>—</v>
      </c>
      <c r="I176" s="2"/>
      <c r="J176" s="2"/>
      <c r="K176" s="12" t="str">
        <f t="shared" si="62"/>
        <v>—</v>
      </c>
      <c r="L176" s="2"/>
      <c r="M176" s="2"/>
      <c r="N176" s="12" t="str">
        <f t="shared" si="63"/>
        <v>—</v>
      </c>
      <c r="O176" s="2"/>
      <c r="P176" s="2"/>
      <c r="Q176" s="12" t="str">
        <f t="shared" si="64"/>
        <v>—</v>
      </c>
      <c r="R176" s="34">
        <f t="shared" si="65"/>
        <v>0</v>
      </c>
      <c r="S176" s="14"/>
      <c r="T176" s="14"/>
    </row>
    <row r="177" spans="1:20" ht="21.75" customHeight="1" x14ac:dyDescent="0.25">
      <c r="A177" s="33" t="s">
        <v>176</v>
      </c>
      <c r="B177" s="16" t="s">
        <v>177</v>
      </c>
      <c r="C177" s="2"/>
      <c r="D177" s="2"/>
      <c r="E177" s="12" t="str">
        <f t="shared" si="60"/>
        <v>—</v>
      </c>
      <c r="F177" s="2"/>
      <c r="G177" s="2"/>
      <c r="H177" s="12" t="str">
        <f t="shared" si="61"/>
        <v>—</v>
      </c>
      <c r="I177" s="2"/>
      <c r="J177" s="2"/>
      <c r="K177" s="12" t="str">
        <f t="shared" si="62"/>
        <v>—</v>
      </c>
      <c r="L177" s="2"/>
      <c r="M177" s="2"/>
      <c r="N177" s="12" t="str">
        <f t="shared" si="63"/>
        <v>—</v>
      </c>
      <c r="O177" s="2"/>
      <c r="P177" s="2"/>
      <c r="Q177" s="12" t="str">
        <f t="shared" si="64"/>
        <v>—</v>
      </c>
      <c r="R177" s="34">
        <f t="shared" si="65"/>
        <v>0</v>
      </c>
      <c r="S177" s="14"/>
      <c r="T177" s="14"/>
    </row>
    <row r="178" spans="1:20" ht="21.75" customHeight="1" x14ac:dyDescent="0.25">
      <c r="A178" s="35" t="s">
        <v>178</v>
      </c>
      <c r="B178" s="36" t="s">
        <v>179</v>
      </c>
      <c r="C178" s="2"/>
      <c r="D178" s="2"/>
      <c r="E178" s="12" t="str">
        <f t="shared" si="60"/>
        <v>—</v>
      </c>
      <c r="F178" s="2"/>
      <c r="G178" s="2"/>
      <c r="H178" s="12" t="str">
        <f t="shared" si="61"/>
        <v>—</v>
      </c>
      <c r="I178" s="2"/>
      <c r="J178" s="2"/>
      <c r="K178" s="12" t="str">
        <f t="shared" si="62"/>
        <v>—</v>
      </c>
      <c r="L178" s="2"/>
      <c r="M178" s="2"/>
      <c r="N178" s="12" t="str">
        <f t="shared" si="63"/>
        <v>—</v>
      </c>
      <c r="O178" s="2"/>
      <c r="P178" s="2"/>
      <c r="Q178" s="12" t="str">
        <f t="shared" si="64"/>
        <v>—</v>
      </c>
      <c r="R178" s="34">
        <f t="shared" si="65"/>
        <v>0</v>
      </c>
      <c r="S178" s="14"/>
      <c r="T178" s="14"/>
    </row>
    <row r="179" spans="1:20" ht="21.75" customHeight="1" x14ac:dyDescent="0.25">
      <c r="A179" s="33" t="s">
        <v>180</v>
      </c>
      <c r="B179" s="16" t="s">
        <v>181</v>
      </c>
      <c r="C179" s="2"/>
      <c r="D179" s="2"/>
      <c r="E179" s="12" t="str">
        <f t="shared" si="60"/>
        <v>—</v>
      </c>
      <c r="F179" s="2"/>
      <c r="G179" s="2"/>
      <c r="H179" s="12" t="str">
        <f t="shared" si="61"/>
        <v>—</v>
      </c>
      <c r="I179" s="2"/>
      <c r="J179" s="2"/>
      <c r="K179" s="12" t="str">
        <f t="shared" si="62"/>
        <v>—</v>
      </c>
      <c r="L179" s="2"/>
      <c r="M179" s="2"/>
      <c r="N179" s="12" t="str">
        <f t="shared" si="63"/>
        <v>—</v>
      </c>
      <c r="O179" s="2"/>
      <c r="P179" s="2"/>
      <c r="Q179" s="12" t="str">
        <f t="shared" si="64"/>
        <v>—</v>
      </c>
      <c r="R179" s="34">
        <f t="shared" si="65"/>
        <v>0</v>
      </c>
      <c r="S179" s="14" t="s">
        <v>40</v>
      </c>
      <c r="T179" s="14" t="s">
        <v>103</v>
      </c>
    </row>
    <row r="180" spans="1:20" ht="21.75" customHeight="1" x14ac:dyDescent="0.25">
      <c r="A180" s="35" t="s">
        <v>182</v>
      </c>
      <c r="B180" s="36" t="s">
        <v>183</v>
      </c>
      <c r="C180" s="2"/>
      <c r="D180" s="2"/>
      <c r="E180" s="12" t="str">
        <f t="shared" si="60"/>
        <v>—</v>
      </c>
      <c r="F180" s="2"/>
      <c r="G180" s="2"/>
      <c r="H180" s="12" t="str">
        <f t="shared" si="61"/>
        <v>—</v>
      </c>
      <c r="I180" s="2"/>
      <c r="J180" s="2"/>
      <c r="K180" s="12" t="str">
        <f t="shared" si="62"/>
        <v>—</v>
      </c>
      <c r="L180" s="2"/>
      <c r="M180" s="2"/>
      <c r="N180" s="12" t="str">
        <f t="shared" si="63"/>
        <v>—</v>
      </c>
      <c r="O180" s="2"/>
      <c r="P180" s="2"/>
      <c r="Q180" s="12" t="str">
        <f t="shared" si="64"/>
        <v>—</v>
      </c>
      <c r="R180" s="34">
        <f t="shared" si="65"/>
        <v>0</v>
      </c>
      <c r="S180" s="14" t="s">
        <v>40</v>
      </c>
      <c r="T180" s="14" t="s">
        <v>103</v>
      </c>
    </row>
    <row r="181" spans="1:20" ht="21.75" customHeight="1" x14ac:dyDescent="0.25">
      <c r="A181" s="33" t="s">
        <v>184</v>
      </c>
      <c r="B181" s="16" t="s">
        <v>185</v>
      </c>
      <c r="C181" s="2"/>
      <c r="D181" s="2"/>
      <c r="E181" s="12" t="str">
        <f t="shared" si="60"/>
        <v>—</v>
      </c>
      <c r="F181" s="2"/>
      <c r="G181" s="2"/>
      <c r="H181" s="12" t="str">
        <f t="shared" si="61"/>
        <v>—</v>
      </c>
      <c r="I181" s="2"/>
      <c r="J181" s="2"/>
      <c r="K181" s="12" t="str">
        <f t="shared" si="62"/>
        <v>—</v>
      </c>
      <c r="L181" s="2"/>
      <c r="M181" s="2"/>
      <c r="N181" s="12" t="str">
        <f t="shared" si="63"/>
        <v>—</v>
      </c>
      <c r="O181" s="2"/>
      <c r="P181" s="2"/>
      <c r="Q181" s="12" t="str">
        <f t="shared" si="64"/>
        <v>—</v>
      </c>
      <c r="R181" s="34">
        <f t="shared" si="65"/>
        <v>0</v>
      </c>
      <c r="S181" s="14" t="s">
        <v>40</v>
      </c>
      <c r="T181" s="14" t="s">
        <v>186</v>
      </c>
    </row>
    <row r="182" spans="1:20" ht="21.75" customHeight="1" x14ac:dyDescent="0.25">
      <c r="A182" s="35" t="s">
        <v>187</v>
      </c>
      <c r="B182" s="36" t="s">
        <v>188</v>
      </c>
      <c r="C182" s="2"/>
      <c r="D182" s="2"/>
      <c r="E182" s="12" t="str">
        <f t="shared" si="60"/>
        <v>—</v>
      </c>
      <c r="F182" s="2"/>
      <c r="G182" s="2"/>
      <c r="H182" s="12" t="str">
        <f t="shared" si="61"/>
        <v>—</v>
      </c>
      <c r="I182" s="2"/>
      <c r="J182" s="2"/>
      <c r="K182" s="12" t="str">
        <f t="shared" si="62"/>
        <v>—</v>
      </c>
      <c r="L182" s="2"/>
      <c r="M182" s="2"/>
      <c r="N182" s="12" t="str">
        <f t="shared" si="63"/>
        <v>—</v>
      </c>
      <c r="O182" s="2"/>
      <c r="P182" s="2"/>
      <c r="Q182" s="12" t="str">
        <f t="shared" si="64"/>
        <v>—</v>
      </c>
      <c r="R182" s="34">
        <f t="shared" si="65"/>
        <v>0</v>
      </c>
      <c r="S182" s="14" t="s">
        <v>40</v>
      </c>
      <c r="T182" s="14" t="s">
        <v>103</v>
      </c>
    </row>
    <row r="183" spans="1:20" ht="21.75" customHeight="1" x14ac:dyDescent="0.25">
      <c r="A183" s="33" t="s">
        <v>189</v>
      </c>
      <c r="B183" s="16" t="s">
        <v>190</v>
      </c>
      <c r="C183" s="2"/>
      <c r="D183" s="2"/>
      <c r="E183" s="12" t="str">
        <f t="shared" si="60"/>
        <v>—</v>
      </c>
      <c r="F183" s="2"/>
      <c r="G183" s="2"/>
      <c r="H183" s="12" t="str">
        <f t="shared" si="61"/>
        <v>—</v>
      </c>
      <c r="I183" s="2"/>
      <c r="J183" s="2"/>
      <c r="K183" s="12" t="str">
        <f t="shared" si="62"/>
        <v>—</v>
      </c>
      <c r="L183" s="2"/>
      <c r="M183" s="2"/>
      <c r="N183" s="12" t="str">
        <f t="shared" si="63"/>
        <v>—</v>
      </c>
      <c r="O183" s="2"/>
      <c r="P183" s="2"/>
      <c r="Q183" s="12" t="str">
        <f t="shared" si="64"/>
        <v>—</v>
      </c>
      <c r="R183" s="34">
        <f t="shared" si="65"/>
        <v>0</v>
      </c>
      <c r="S183" s="14" t="s">
        <v>40</v>
      </c>
      <c r="T183" s="14" t="s">
        <v>44</v>
      </c>
    </row>
    <row r="184" spans="1:20" ht="21.75" customHeight="1" x14ac:dyDescent="0.25">
      <c r="A184" s="35" t="s">
        <v>191</v>
      </c>
      <c r="B184" s="36" t="s">
        <v>192</v>
      </c>
      <c r="C184" s="2"/>
      <c r="D184" s="2"/>
      <c r="E184" s="12" t="str">
        <f t="shared" si="60"/>
        <v>—</v>
      </c>
      <c r="F184" s="2"/>
      <c r="G184" s="2"/>
      <c r="H184" s="12" t="str">
        <f t="shared" si="61"/>
        <v>—</v>
      </c>
      <c r="I184" s="2"/>
      <c r="J184" s="2"/>
      <c r="K184" s="12" t="str">
        <f t="shared" si="62"/>
        <v>—</v>
      </c>
      <c r="L184" s="2"/>
      <c r="M184" s="2"/>
      <c r="N184" s="12" t="str">
        <f t="shared" si="63"/>
        <v>—</v>
      </c>
      <c r="O184" s="2"/>
      <c r="P184" s="2"/>
      <c r="Q184" s="12" t="str">
        <f t="shared" si="64"/>
        <v>—</v>
      </c>
      <c r="R184" s="34">
        <f t="shared" si="65"/>
        <v>0</v>
      </c>
      <c r="S184" s="14" t="s">
        <v>40</v>
      </c>
      <c r="T184" s="14" t="s">
        <v>100</v>
      </c>
    </row>
    <row r="185" spans="1:20" ht="21.75" customHeight="1" x14ac:dyDescent="0.25">
      <c r="A185" s="33" t="s">
        <v>193</v>
      </c>
      <c r="B185" s="16" t="s">
        <v>194</v>
      </c>
      <c r="C185" s="2"/>
      <c r="D185" s="2"/>
      <c r="E185" s="12" t="str">
        <f t="shared" si="60"/>
        <v>—</v>
      </c>
      <c r="F185" s="2"/>
      <c r="G185" s="2"/>
      <c r="H185" s="12" t="str">
        <f t="shared" si="61"/>
        <v>—</v>
      </c>
      <c r="I185" s="2"/>
      <c r="J185" s="2"/>
      <c r="K185" s="12" t="str">
        <f t="shared" si="62"/>
        <v>—</v>
      </c>
      <c r="L185" s="2"/>
      <c r="M185" s="2"/>
      <c r="N185" s="12" t="str">
        <f t="shared" si="63"/>
        <v>—</v>
      </c>
      <c r="O185" s="2"/>
      <c r="P185" s="2"/>
      <c r="Q185" s="12" t="str">
        <f t="shared" si="64"/>
        <v>—</v>
      </c>
      <c r="R185" s="34">
        <f t="shared" si="65"/>
        <v>0</v>
      </c>
      <c r="S185" s="14" t="s">
        <v>40</v>
      </c>
      <c r="T185" s="14" t="s">
        <v>186</v>
      </c>
    </row>
    <row r="186" spans="1:20" ht="21.75" customHeight="1" x14ac:dyDescent="0.25">
      <c r="A186" s="35" t="s">
        <v>195</v>
      </c>
      <c r="B186" s="36" t="s">
        <v>196</v>
      </c>
      <c r="C186" s="2"/>
      <c r="D186" s="2"/>
      <c r="E186" s="12" t="str">
        <f t="shared" si="60"/>
        <v>—</v>
      </c>
      <c r="F186" s="2"/>
      <c r="G186" s="2"/>
      <c r="H186" s="12" t="str">
        <f t="shared" si="61"/>
        <v>—</v>
      </c>
      <c r="I186" s="2"/>
      <c r="J186" s="2"/>
      <c r="K186" s="12" t="str">
        <f t="shared" si="62"/>
        <v>—</v>
      </c>
      <c r="L186" s="2"/>
      <c r="M186" s="2"/>
      <c r="N186" s="12" t="str">
        <f t="shared" si="63"/>
        <v>—</v>
      </c>
      <c r="O186" s="2"/>
      <c r="P186" s="2"/>
      <c r="Q186" s="12" t="str">
        <f t="shared" si="64"/>
        <v>—</v>
      </c>
      <c r="R186" s="34">
        <f t="shared" si="65"/>
        <v>0</v>
      </c>
      <c r="S186" s="14" t="s">
        <v>40</v>
      </c>
      <c r="T186" s="14" t="s">
        <v>186</v>
      </c>
    </row>
    <row r="187" spans="1:20" ht="21.75" customHeight="1" x14ac:dyDescent="0.25">
      <c r="A187" s="33" t="s">
        <v>197</v>
      </c>
      <c r="B187" s="16" t="s">
        <v>198</v>
      </c>
      <c r="C187" s="2"/>
      <c r="D187" s="2"/>
      <c r="E187" s="12" t="str">
        <f t="shared" si="60"/>
        <v>—</v>
      </c>
      <c r="F187" s="2"/>
      <c r="G187" s="2"/>
      <c r="H187" s="12" t="str">
        <f t="shared" si="61"/>
        <v>—</v>
      </c>
      <c r="I187" s="2"/>
      <c r="J187" s="2"/>
      <c r="K187" s="12" t="str">
        <f t="shared" si="62"/>
        <v>—</v>
      </c>
      <c r="L187" s="2"/>
      <c r="M187" s="2"/>
      <c r="N187" s="12" t="str">
        <f t="shared" si="63"/>
        <v>—</v>
      </c>
      <c r="O187" s="2"/>
      <c r="P187" s="2"/>
      <c r="Q187" s="12" t="str">
        <f t="shared" si="64"/>
        <v>—</v>
      </c>
      <c r="R187" s="34">
        <f t="shared" si="65"/>
        <v>0</v>
      </c>
      <c r="S187" s="14" t="s">
        <v>40</v>
      </c>
      <c r="T187" s="14" t="s">
        <v>101</v>
      </c>
    </row>
    <row r="188" spans="1:20" ht="21.75" customHeight="1" x14ac:dyDescent="0.25">
      <c r="A188" s="35" t="s">
        <v>199</v>
      </c>
      <c r="B188" s="36" t="s">
        <v>200</v>
      </c>
      <c r="C188" s="2"/>
      <c r="D188" s="2"/>
      <c r="E188" s="12" t="str">
        <f t="shared" si="60"/>
        <v>—</v>
      </c>
      <c r="F188" s="2"/>
      <c r="G188" s="2"/>
      <c r="H188" s="12" t="str">
        <f t="shared" si="61"/>
        <v>—</v>
      </c>
      <c r="I188" s="2"/>
      <c r="J188" s="2"/>
      <c r="K188" s="12" t="str">
        <f t="shared" si="62"/>
        <v>—</v>
      </c>
      <c r="L188" s="2"/>
      <c r="M188" s="2"/>
      <c r="N188" s="12" t="str">
        <f t="shared" si="63"/>
        <v>—</v>
      </c>
      <c r="O188" s="2"/>
      <c r="P188" s="2"/>
      <c r="Q188" s="12" t="str">
        <f t="shared" si="64"/>
        <v>—</v>
      </c>
      <c r="R188" s="34">
        <f t="shared" si="65"/>
        <v>0</v>
      </c>
      <c r="S188" s="14" t="s">
        <v>40</v>
      </c>
      <c r="T188" s="14" t="s">
        <v>103</v>
      </c>
    </row>
    <row r="189" spans="1:20" ht="21.75" customHeight="1" x14ac:dyDescent="0.25">
      <c r="A189" s="33" t="s">
        <v>201</v>
      </c>
      <c r="B189" s="16" t="s">
        <v>202</v>
      </c>
      <c r="C189" s="2"/>
      <c r="D189" s="2"/>
      <c r="E189" s="12" t="str">
        <f t="shared" si="60"/>
        <v>—</v>
      </c>
      <c r="F189" s="2"/>
      <c r="G189" s="2"/>
      <c r="H189" s="12" t="str">
        <f t="shared" si="61"/>
        <v>—</v>
      </c>
      <c r="I189" s="2"/>
      <c r="J189" s="2"/>
      <c r="K189" s="12" t="str">
        <f t="shared" si="62"/>
        <v>—</v>
      </c>
      <c r="L189" s="2"/>
      <c r="M189" s="2"/>
      <c r="N189" s="12" t="str">
        <f t="shared" si="63"/>
        <v>—</v>
      </c>
      <c r="O189" s="2"/>
      <c r="P189" s="2"/>
      <c r="Q189" s="12" t="str">
        <f t="shared" si="64"/>
        <v>—</v>
      </c>
      <c r="R189" s="34">
        <f t="shared" si="65"/>
        <v>0</v>
      </c>
      <c r="S189" s="14"/>
      <c r="T189" s="14"/>
    </row>
    <row r="190" spans="1:20" ht="21.75" customHeight="1" x14ac:dyDescent="0.25">
      <c r="A190" s="35" t="s">
        <v>203</v>
      </c>
      <c r="B190" s="36" t="s">
        <v>198</v>
      </c>
      <c r="C190" s="2"/>
      <c r="D190" s="2"/>
      <c r="E190" s="12" t="str">
        <f t="shared" si="60"/>
        <v>—</v>
      </c>
      <c r="F190" s="2"/>
      <c r="G190" s="2"/>
      <c r="H190" s="12" t="str">
        <f t="shared" si="61"/>
        <v>—</v>
      </c>
      <c r="I190" s="2"/>
      <c r="J190" s="2"/>
      <c r="K190" s="12" t="str">
        <f t="shared" si="62"/>
        <v>—</v>
      </c>
      <c r="L190" s="2"/>
      <c r="M190" s="2"/>
      <c r="N190" s="12" t="str">
        <f t="shared" si="63"/>
        <v>—</v>
      </c>
      <c r="O190" s="2"/>
      <c r="P190" s="2"/>
      <c r="Q190" s="12" t="str">
        <f t="shared" si="64"/>
        <v>—</v>
      </c>
      <c r="R190" s="34">
        <f t="shared" si="65"/>
        <v>0</v>
      </c>
      <c r="S190" s="14" t="s">
        <v>40</v>
      </c>
      <c r="T190" s="14" t="s">
        <v>204</v>
      </c>
    </row>
    <row r="191" spans="1:20" ht="21.75" customHeight="1" x14ac:dyDescent="0.25">
      <c r="A191" s="42" t="s">
        <v>63</v>
      </c>
      <c r="B191" s="40"/>
    </row>
    <row r="192" spans="1:20" ht="18" customHeight="1" x14ac:dyDescent="0.25">
      <c r="A192" s="41" t="s">
        <v>64</v>
      </c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40"/>
    </row>
  </sheetData>
  <mergeCells count="24">
    <mergeCell ref="A1:O1"/>
    <mergeCell ref="A2:O2"/>
    <mergeCell ref="A21:B21"/>
    <mergeCell ref="A22:T22"/>
    <mergeCell ref="A86:B86"/>
    <mergeCell ref="A23:O23"/>
    <mergeCell ref="A24:O24"/>
    <mergeCell ref="A43:B43"/>
    <mergeCell ref="A44:T44"/>
    <mergeCell ref="A46:O46"/>
    <mergeCell ref="A47:O47"/>
    <mergeCell ref="A66:B66"/>
    <mergeCell ref="A67:T67"/>
    <mergeCell ref="A106:B106"/>
    <mergeCell ref="A107:T107"/>
    <mergeCell ref="A87:T87"/>
    <mergeCell ref="A192:T192"/>
    <mergeCell ref="A127:B127"/>
    <mergeCell ref="A128:T128"/>
    <mergeCell ref="A170:B170"/>
    <mergeCell ref="A171:T171"/>
    <mergeCell ref="A191:B191"/>
    <mergeCell ref="A149:T149"/>
    <mergeCell ref="A148:B14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State Audit Maharashtra I ID 55</cp:lastModifiedBy>
  <dcterms:created xsi:type="dcterms:W3CDTF">2026-03-26T19:59:00Z</dcterms:created>
  <dcterms:modified xsi:type="dcterms:W3CDTF">2026-04-08T11:29:00Z</dcterms:modified>
</cp:coreProperties>
</file>
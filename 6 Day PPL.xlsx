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Rahul\Softwares\AI Gym Mentor\AI Gym Mentor\"/>
    </mc:Choice>
  </mc:AlternateContent>
  <xr:revisionPtr revIDLastSave="0" documentId="13_ncr:1_{A7C5D719-F5A5-49A2-9DD3-EA3F83480180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Dashboard" sheetId="1" r:id="rId1"/>
    <sheet name="Body Measurements" sheetId="2" r:id="rId2"/>
    <sheet name="Exercise Plan" sheetId="4" r:id="rId3"/>
    <sheet name="Strength Progres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43gSV7FkdBboc2EuJ2osLfqzSeItaEju+yPT1gzwcEA="/>
    </ext>
  </extLst>
</workbook>
</file>

<file path=xl/calcChain.xml><?xml version="1.0" encoding="utf-8"?>
<calcChain xmlns="http://schemas.openxmlformats.org/spreadsheetml/2006/main">
  <c r="Q190" i="4" l="1"/>
  <c r="N190" i="4"/>
  <c r="K190" i="4"/>
  <c r="H190" i="4"/>
  <c r="E190" i="4"/>
  <c r="R190" i="4" s="1"/>
  <c r="R189" i="4"/>
  <c r="Q189" i="4"/>
  <c r="N189" i="4"/>
  <c r="K189" i="4"/>
  <c r="H189" i="4"/>
  <c r="E189" i="4"/>
  <c r="Q188" i="4"/>
  <c r="N188" i="4"/>
  <c r="K188" i="4"/>
  <c r="H188" i="4"/>
  <c r="E188" i="4"/>
  <c r="R188" i="4" s="1"/>
  <c r="Q187" i="4"/>
  <c r="N187" i="4"/>
  <c r="K187" i="4"/>
  <c r="H187" i="4"/>
  <c r="R187" i="4" s="1"/>
  <c r="E187" i="4"/>
  <c r="Q186" i="4"/>
  <c r="N186" i="4"/>
  <c r="K186" i="4"/>
  <c r="H186" i="4"/>
  <c r="E186" i="4"/>
  <c r="R186" i="4" s="1"/>
  <c r="R185" i="4"/>
  <c r="Q185" i="4"/>
  <c r="N185" i="4"/>
  <c r="K185" i="4"/>
  <c r="H185" i="4"/>
  <c r="E185" i="4"/>
  <c r="Q184" i="4"/>
  <c r="N184" i="4"/>
  <c r="K184" i="4"/>
  <c r="H184" i="4"/>
  <c r="E184" i="4"/>
  <c r="R184" i="4" s="1"/>
  <c r="Q183" i="4"/>
  <c r="N183" i="4"/>
  <c r="K183" i="4"/>
  <c r="H183" i="4"/>
  <c r="R183" i="4" s="1"/>
  <c r="E183" i="4"/>
  <c r="Q182" i="4"/>
  <c r="N182" i="4"/>
  <c r="K182" i="4"/>
  <c r="H182" i="4"/>
  <c r="E182" i="4"/>
  <c r="R182" i="4" s="1"/>
  <c r="R181" i="4"/>
  <c r="Q181" i="4"/>
  <c r="N181" i="4"/>
  <c r="K181" i="4"/>
  <c r="H181" i="4"/>
  <c r="E181" i="4"/>
  <c r="Q180" i="4"/>
  <c r="N180" i="4"/>
  <c r="K180" i="4"/>
  <c r="H180" i="4"/>
  <c r="E180" i="4"/>
  <c r="R180" i="4" s="1"/>
  <c r="Q179" i="4"/>
  <c r="N179" i="4"/>
  <c r="K179" i="4"/>
  <c r="H179" i="4"/>
  <c r="R179" i="4" s="1"/>
  <c r="E179" i="4"/>
  <c r="Q178" i="4"/>
  <c r="N178" i="4"/>
  <c r="K178" i="4"/>
  <c r="H178" i="4"/>
  <c r="E178" i="4"/>
  <c r="R178" i="4" s="1"/>
  <c r="R177" i="4"/>
  <c r="Q177" i="4"/>
  <c r="N177" i="4"/>
  <c r="K177" i="4"/>
  <c r="H177" i="4"/>
  <c r="E177" i="4"/>
  <c r="Q176" i="4"/>
  <c r="N176" i="4"/>
  <c r="K176" i="4"/>
  <c r="H176" i="4"/>
  <c r="E176" i="4"/>
  <c r="R176" i="4" s="1"/>
  <c r="Q175" i="4"/>
  <c r="N175" i="4"/>
  <c r="K175" i="4"/>
  <c r="H175" i="4"/>
  <c r="R175" i="4" s="1"/>
  <c r="E175" i="4"/>
  <c r="Q169" i="4"/>
  <c r="N169" i="4"/>
  <c r="K169" i="4"/>
  <c r="H169" i="4"/>
  <c r="E169" i="4"/>
  <c r="R169" i="4" s="1"/>
  <c r="R168" i="4"/>
  <c r="Q168" i="4"/>
  <c r="N168" i="4"/>
  <c r="K168" i="4"/>
  <c r="H168" i="4"/>
  <c r="E168" i="4"/>
  <c r="Q167" i="4"/>
  <c r="N167" i="4"/>
  <c r="K167" i="4"/>
  <c r="H167" i="4"/>
  <c r="E167" i="4"/>
  <c r="R167" i="4" s="1"/>
  <c r="Q166" i="4"/>
  <c r="N166" i="4"/>
  <c r="K166" i="4"/>
  <c r="H166" i="4"/>
  <c r="R166" i="4" s="1"/>
  <c r="E166" i="4"/>
  <c r="Q165" i="4"/>
  <c r="N165" i="4"/>
  <c r="R165" i="4" s="1"/>
  <c r="K165" i="4"/>
  <c r="H165" i="4"/>
  <c r="E165" i="4"/>
  <c r="R163" i="4"/>
  <c r="Q163" i="4"/>
  <c r="N163" i="4"/>
  <c r="K163" i="4"/>
  <c r="H163" i="4"/>
  <c r="E163" i="4"/>
  <c r="Q162" i="4"/>
  <c r="N162" i="4"/>
  <c r="K162" i="4"/>
  <c r="H162" i="4"/>
  <c r="E162" i="4"/>
  <c r="R162" i="4" s="1"/>
  <c r="Q161" i="4"/>
  <c r="N161" i="4"/>
  <c r="K161" i="4"/>
  <c r="H161" i="4"/>
  <c r="R161" i="4" s="1"/>
  <c r="E161" i="4"/>
  <c r="Q160" i="4"/>
  <c r="N160" i="4"/>
  <c r="K160" i="4"/>
  <c r="H160" i="4"/>
  <c r="E160" i="4"/>
  <c r="R160" i="4" s="1"/>
  <c r="R159" i="4"/>
  <c r="Q159" i="4"/>
  <c r="N159" i="4"/>
  <c r="K159" i="4"/>
  <c r="H159" i="4"/>
  <c r="E159" i="4"/>
  <c r="Q158" i="4"/>
  <c r="N158" i="4"/>
  <c r="K158" i="4"/>
  <c r="H158" i="4"/>
  <c r="E158" i="4"/>
  <c r="R158" i="4" s="1"/>
  <c r="Q157" i="4"/>
  <c r="N157" i="4"/>
  <c r="K157" i="4"/>
  <c r="H157" i="4"/>
  <c r="R157" i="4" s="1"/>
  <c r="E157" i="4"/>
  <c r="Q156" i="4"/>
  <c r="N156" i="4"/>
  <c r="K156" i="4"/>
  <c r="H156" i="4"/>
  <c r="E156" i="4"/>
  <c r="R156" i="4" s="1"/>
  <c r="R155" i="4"/>
  <c r="Q155" i="4"/>
  <c r="N155" i="4"/>
  <c r="K155" i="4"/>
  <c r="H155" i="4"/>
  <c r="E155" i="4"/>
  <c r="Q154" i="4"/>
  <c r="N154" i="4"/>
  <c r="K154" i="4"/>
  <c r="H154" i="4"/>
  <c r="E154" i="4"/>
  <c r="R154" i="4" s="1"/>
  <c r="Q153" i="4"/>
  <c r="N153" i="4"/>
  <c r="K153" i="4"/>
  <c r="H153" i="4"/>
  <c r="R153" i="4" s="1"/>
  <c r="E153" i="4"/>
  <c r="Q126" i="4"/>
  <c r="N126" i="4"/>
  <c r="K126" i="4"/>
  <c r="H126" i="4"/>
  <c r="E126" i="4"/>
  <c r="R126" i="4" s="1"/>
  <c r="Q125" i="4"/>
  <c r="R125" i="4" s="1"/>
  <c r="N125" i="4"/>
  <c r="K125" i="4"/>
  <c r="H125" i="4"/>
  <c r="E125" i="4"/>
  <c r="Q124" i="4"/>
  <c r="N124" i="4"/>
  <c r="K124" i="4"/>
  <c r="H124" i="4"/>
  <c r="E124" i="4"/>
  <c r="Q123" i="4"/>
  <c r="N123" i="4"/>
  <c r="K123" i="4"/>
  <c r="H123" i="4"/>
  <c r="E123" i="4"/>
  <c r="R123" i="4" s="1"/>
  <c r="Q122" i="4"/>
  <c r="N122" i="4"/>
  <c r="K122" i="4"/>
  <c r="H122" i="4"/>
  <c r="E122" i="4"/>
  <c r="Q121" i="4"/>
  <c r="N121" i="4"/>
  <c r="K121" i="4"/>
  <c r="H121" i="4"/>
  <c r="E121" i="4"/>
  <c r="R121" i="4" s="1"/>
  <c r="Q120" i="4"/>
  <c r="N120" i="4"/>
  <c r="K120" i="4"/>
  <c r="H120" i="4"/>
  <c r="E120" i="4"/>
  <c r="R120" i="4" s="1"/>
  <c r="Q119" i="4"/>
  <c r="N119" i="4"/>
  <c r="K119" i="4"/>
  <c r="H119" i="4"/>
  <c r="E119" i="4"/>
  <c r="Q118" i="4"/>
  <c r="N118" i="4"/>
  <c r="K118" i="4"/>
  <c r="H118" i="4"/>
  <c r="E118" i="4"/>
  <c r="Q117" i="4"/>
  <c r="N117" i="4"/>
  <c r="K117" i="4"/>
  <c r="H117" i="4"/>
  <c r="E117" i="4"/>
  <c r="R117" i="4" s="1"/>
  <c r="Q116" i="4"/>
  <c r="N116" i="4"/>
  <c r="K116" i="4"/>
  <c r="H116" i="4"/>
  <c r="E116" i="4"/>
  <c r="Q115" i="4"/>
  <c r="N115" i="4"/>
  <c r="K115" i="4"/>
  <c r="H115" i="4"/>
  <c r="E115" i="4"/>
  <c r="R115" i="4" s="1"/>
  <c r="Q114" i="4"/>
  <c r="N114" i="4"/>
  <c r="K114" i="4"/>
  <c r="H114" i="4"/>
  <c r="E114" i="4"/>
  <c r="Q113" i="4"/>
  <c r="N113" i="4"/>
  <c r="R113" i="4" s="1"/>
  <c r="K113" i="4"/>
  <c r="H113" i="4"/>
  <c r="E113" i="4"/>
  <c r="Q112" i="4"/>
  <c r="N112" i="4"/>
  <c r="K112" i="4"/>
  <c r="H112" i="4"/>
  <c r="E112" i="4"/>
  <c r="R112" i="4" s="1"/>
  <c r="Q111" i="4"/>
  <c r="N111" i="4"/>
  <c r="K111" i="4"/>
  <c r="H111" i="4"/>
  <c r="E111" i="4"/>
  <c r="Q105" i="4"/>
  <c r="N105" i="4"/>
  <c r="K105" i="4"/>
  <c r="H105" i="4"/>
  <c r="E105" i="4"/>
  <c r="Q104" i="4"/>
  <c r="N104" i="4"/>
  <c r="K104" i="4"/>
  <c r="H104" i="4"/>
  <c r="E104" i="4"/>
  <c r="Q103" i="4"/>
  <c r="N103" i="4"/>
  <c r="K103" i="4"/>
  <c r="H103" i="4"/>
  <c r="E103" i="4"/>
  <c r="Q102" i="4"/>
  <c r="N102" i="4"/>
  <c r="K102" i="4"/>
  <c r="H102" i="4"/>
  <c r="E102" i="4"/>
  <c r="Q100" i="4"/>
  <c r="N100" i="4"/>
  <c r="K100" i="4"/>
  <c r="H100" i="4"/>
  <c r="E100" i="4"/>
  <c r="Q99" i="4"/>
  <c r="N99" i="4"/>
  <c r="K99" i="4"/>
  <c r="H99" i="4"/>
  <c r="E99" i="4"/>
  <c r="Q98" i="4"/>
  <c r="N98" i="4"/>
  <c r="K98" i="4"/>
  <c r="H98" i="4"/>
  <c r="E98" i="4"/>
  <c r="Q97" i="4"/>
  <c r="N97" i="4"/>
  <c r="K97" i="4"/>
  <c r="H97" i="4"/>
  <c r="E97" i="4"/>
  <c r="Q96" i="4"/>
  <c r="N96" i="4"/>
  <c r="K96" i="4"/>
  <c r="H96" i="4"/>
  <c r="E96" i="4"/>
  <c r="Q95" i="4"/>
  <c r="N95" i="4"/>
  <c r="K95" i="4"/>
  <c r="H95" i="4"/>
  <c r="E95" i="4"/>
  <c r="Q94" i="4"/>
  <c r="N94" i="4"/>
  <c r="K94" i="4"/>
  <c r="H94" i="4"/>
  <c r="E94" i="4"/>
  <c r="Q93" i="4"/>
  <c r="N93" i="4"/>
  <c r="K93" i="4"/>
  <c r="H93" i="4"/>
  <c r="E93" i="4"/>
  <c r="Q92" i="4"/>
  <c r="N92" i="4"/>
  <c r="K92" i="4"/>
  <c r="H92" i="4"/>
  <c r="E92" i="4"/>
  <c r="Q91" i="4"/>
  <c r="N91" i="4"/>
  <c r="K91" i="4"/>
  <c r="H91" i="4"/>
  <c r="E91" i="4"/>
  <c r="Q90" i="4"/>
  <c r="N90" i="4"/>
  <c r="K90" i="4"/>
  <c r="H90" i="4"/>
  <c r="E90" i="4"/>
  <c r="Q65" i="4"/>
  <c r="N65" i="4"/>
  <c r="K65" i="4"/>
  <c r="H65" i="4"/>
  <c r="E65" i="4"/>
  <c r="Q64" i="4"/>
  <c r="N64" i="4"/>
  <c r="K64" i="4"/>
  <c r="H64" i="4"/>
  <c r="E64" i="4"/>
  <c r="Q63" i="4"/>
  <c r="N63" i="4"/>
  <c r="K63" i="4"/>
  <c r="H63" i="4"/>
  <c r="E63" i="4"/>
  <c r="Q62" i="4"/>
  <c r="N62" i="4"/>
  <c r="K62" i="4"/>
  <c r="H62" i="4"/>
  <c r="E62" i="4"/>
  <c r="Q61" i="4"/>
  <c r="N61" i="4"/>
  <c r="K61" i="4"/>
  <c r="H61" i="4"/>
  <c r="E61" i="4"/>
  <c r="Q60" i="4"/>
  <c r="N60" i="4"/>
  <c r="K60" i="4"/>
  <c r="H60" i="4"/>
  <c r="E60" i="4"/>
  <c r="Q59" i="4"/>
  <c r="N59" i="4"/>
  <c r="K59" i="4"/>
  <c r="H59" i="4"/>
  <c r="E59" i="4"/>
  <c r="Q58" i="4"/>
  <c r="N58" i="4"/>
  <c r="K58" i="4"/>
  <c r="H58" i="4"/>
  <c r="E58" i="4"/>
  <c r="Q57" i="4"/>
  <c r="N57" i="4"/>
  <c r="K57" i="4"/>
  <c r="H57" i="4"/>
  <c r="E57" i="4"/>
  <c r="Q56" i="4"/>
  <c r="N56" i="4"/>
  <c r="K56" i="4"/>
  <c r="H56" i="4"/>
  <c r="E56" i="4"/>
  <c r="Q55" i="4"/>
  <c r="N55" i="4"/>
  <c r="K55" i="4"/>
  <c r="H55" i="4"/>
  <c r="E55" i="4"/>
  <c r="Q54" i="4"/>
  <c r="N54" i="4"/>
  <c r="K54" i="4"/>
  <c r="H54" i="4"/>
  <c r="E54" i="4"/>
  <c r="Q53" i="4"/>
  <c r="N53" i="4"/>
  <c r="K53" i="4"/>
  <c r="H53" i="4"/>
  <c r="E53" i="4"/>
  <c r="Q52" i="4"/>
  <c r="N52" i="4"/>
  <c r="K52" i="4"/>
  <c r="H52" i="4"/>
  <c r="E52" i="4"/>
  <c r="Q51" i="4"/>
  <c r="N51" i="4"/>
  <c r="K51" i="4"/>
  <c r="H51" i="4"/>
  <c r="E51" i="4"/>
  <c r="Q50" i="4"/>
  <c r="N50" i="4"/>
  <c r="K50" i="4"/>
  <c r="H50" i="4"/>
  <c r="E50" i="4"/>
  <c r="Q42" i="4"/>
  <c r="N42" i="4"/>
  <c r="K42" i="4"/>
  <c r="H42" i="4"/>
  <c r="E42" i="4"/>
  <c r="Q41" i="4"/>
  <c r="N41" i="4"/>
  <c r="K41" i="4"/>
  <c r="H41" i="4"/>
  <c r="E41" i="4"/>
  <c r="Q40" i="4"/>
  <c r="N40" i="4"/>
  <c r="K40" i="4"/>
  <c r="H40" i="4"/>
  <c r="E40" i="4"/>
  <c r="Q39" i="4"/>
  <c r="N39" i="4"/>
  <c r="K39" i="4"/>
  <c r="H39" i="4"/>
  <c r="E39" i="4"/>
  <c r="Q38" i="4"/>
  <c r="N38" i="4"/>
  <c r="K38" i="4"/>
  <c r="H38" i="4"/>
  <c r="E38" i="4"/>
  <c r="Q37" i="4"/>
  <c r="N37" i="4"/>
  <c r="K37" i="4"/>
  <c r="H37" i="4"/>
  <c r="E37" i="4"/>
  <c r="Q36" i="4"/>
  <c r="N36" i="4"/>
  <c r="K36" i="4"/>
  <c r="H36" i="4"/>
  <c r="E36" i="4"/>
  <c r="Q35" i="4"/>
  <c r="N35" i="4"/>
  <c r="K35" i="4"/>
  <c r="H35" i="4"/>
  <c r="E35" i="4"/>
  <c r="Q34" i="4"/>
  <c r="N34" i="4"/>
  <c r="K34" i="4"/>
  <c r="H34" i="4"/>
  <c r="E34" i="4"/>
  <c r="Q33" i="4"/>
  <c r="N33" i="4"/>
  <c r="K33" i="4"/>
  <c r="H33" i="4"/>
  <c r="E33" i="4"/>
  <c r="Q32" i="4"/>
  <c r="N32" i="4"/>
  <c r="K32" i="4"/>
  <c r="H32" i="4"/>
  <c r="E32" i="4"/>
  <c r="Q31" i="4"/>
  <c r="N31" i="4"/>
  <c r="K31" i="4"/>
  <c r="H31" i="4"/>
  <c r="E31" i="4"/>
  <c r="Q30" i="4"/>
  <c r="N30" i="4"/>
  <c r="K30" i="4"/>
  <c r="H30" i="4"/>
  <c r="E30" i="4"/>
  <c r="Q29" i="4"/>
  <c r="N29" i="4"/>
  <c r="K29" i="4"/>
  <c r="H29" i="4"/>
  <c r="E29" i="4"/>
  <c r="Q28" i="4"/>
  <c r="N28" i="4"/>
  <c r="K28" i="4"/>
  <c r="H28" i="4"/>
  <c r="E28" i="4"/>
  <c r="Q27" i="4"/>
  <c r="N27" i="4"/>
  <c r="K27" i="4"/>
  <c r="H27" i="4"/>
  <c r="E27" i="4"/>
  <c r="Q147" i="4"/>
  <c r="N147" i="4"/>
  <c r="K147" i="4"/>
  <c r="H147" i="4"/>
  <c r="E147" i="4"/>
  <c r="Q146" i="4"/>
  <c r="N146" i="4"/>
  <c r="K146" i="4"/>
  <c r="H146" i="4"/>
  <c r="E146" i="4"/>
  <c r="Q145" i="4"/>
  <c r="N145" i="4"/>
  <c r="K145" i="4"/>
  <c r="H145" i="4"/>
  <c r="E145" i="4"/>
  <c r="Q144" i="4"/>
  <c r="N144" i="4"/>
  <c r="K144" i="4"/>
  <c r="H144" i="4"/>
  <c r="E144" i="4"/>
  <c r="Q143" i="4"/>
  <c r="N143" i="4"/>
  <c r="K143" i="4"/>
  <c r="H143" i="4"/>
  <c r="E143" i="4"/>
  <c r="Q142" i="4"/>
  <c r="N142" i="4"/>
  <c r="K142" i="4"/>
  <c r="H142" i="4"/>
  <c r="E142" i="4"/>
  <c r="Q141" i="4"/>
  <c r="N141" i="4"/>
  <c r="K141" i="4"/>
  <c r="H141" i="4"/>
  <c r="E141" i="4"/>
  <c r="Q140" i="4"/>
  <c r="N140" i="4"/>
  <c r="K140" i="4"/>
  <c r="H140" i="4"/>
  <c r="E140" i="4"/>
  <c r="Q139" i="4"/>
  <c r="N139" i="4"/>
  <c r="K139" i="4"/>
  <c r="H139" i="4"/>
  <c r="E139" i="4"/>
  <c r="Q138" i="4"/>
  <c r="N138" i="4"/>
  <c r="K138" i="4"/>
  <c r="H138" i="4"/>
  <c r="E138" i="4"/>
  <c r="Q137" i="4"/>
  <c r="N137" i="4"/>
  <c r="K137" i="4"/>
  <c r="H137" i="4"/>
  <c r="E137" i="4"/>
  <c r="Q136" i="4"/>
  <c r="N136" i="4"/>
  <c r="K136" i="4"/>
  <c r="H136" i="4"/>
  <c r="E136" i="4"/>
  <c r="Q135" i="4"/>
  <c r="N135" i="4"/>
  <c r="K135" i="4"/>
  <c r="H135" i="4"/>
  <c r="E135" i="4"/>
  <c r="Q134" i="4"/>
  <c r="N134" i="4"/>
  <c r="K134" i="4"/>
  <c r="H134" i="4"/>
  <c r="E134" i="4"/>
  <c r="Q133" i="4"/>
  <c r="N133" i="4"/>
  <c r="K133" i="4"/>
  <c r="H133" i="4"/>
  <c r="E133" i="4"/>
  <c r="Q132" i="4"/>
  <c r="N132" i="4"/>
  <c r="K132" i="4"/>
  <c r="H132" i="4"/>
  <c r="E132" i="4"/>
  <c r="Q85" i="4"/>
  <c r="N85" i="4"/>
  <c r="K85" i="4"/>
  <c r="H85" i="4"/>
  <c r="E85" i="4"/>
  <c r="Q84" i="4"/>
  <c r="N84" i="4"/>
  <c r="K84" i="4"/>
  <c r="H84" i="4"/>
  <c r="E84" i="4"/>
  <c r="Q83" i="4"/>
  <c r="N83" i="4"/>
  <c r="K83" i="4"/>
  <c r="H83" i="4"/>
  <c r="E83" i="4"/>
  <c r="Q82" i="4"/>
  <c r="N82" i="4"/>
  <c r="K82" i="4"/>
  <c r="H82" i="4"/>
  <c r="E82" i="4"/>
  <c r="Q81" i="4"/>
  <c r="N81" i="4"/>
  <c r="K81" i="4"/>
  <c r="H81" i="4"/>
  <c r="E81" i="4"/>
  <c r="Q80" i="4"/>
  <c r="N80" i="4"/>
  <c r="K80" i="4"/>
  <c r="H80" i="4"/>
  <c r="E80" i="4"/>
  <c r="Q79" i="4"/>
  <c r="N79" i="4"/>
  <c r="K79" i="4"/>
  <c r="H79" i="4"/>
  <c r="E79" i="4"/>
  <c r="Q78" i="4"/>
  <c r="N78" i="4"/>
  <c r="K78" i="4"/>
  <c r="H78" i="4"/>
  <c r="E78" i="4"/>
  <c r="Q77" i="4"/>
  <c r="N77" i="4"/>
  <c r="K77" i="4"/>
  <c r="H77" i="4"/>
  <c r="E77" i="4"/>
  <c r="Q76" i="4"/>
  <c r="N76" i="4"/>
  <c r="K76" i="4"/>
  <c r="H76" i="4"/>
  <c r="E76" i="4"/>
  <c r="Q75" i="4"/>
  <c r="N75" i="4"/>
  <c r="K75" i="4"/>
  <c r="H75" i="4"/>
  <c r="E75" i="4"/>
  <c r="Q74" i="4"/>
  <c r="N74" i="4"/>
  <c r="K74" i="4"/>
  <c r="H74" i="4"/>
  <c r="E74" i="4"/>
  <c r="Q73" i="4"/>
  <c r="N73" i="4"/>
  <c r="K73" i="4"/>
  <c r="H73" i="4"/>
  <c r="E73" i="4"/>
  <c r="Q72" i="4"/>
  <c r="N72" i="4"/>
  <c r="K72" i="4"/>
  <c r="H72" i="4"/>
  <c r="E72" i="4"/>
  <c r="Q71" i="4"/>
  <c r="N71" i="4"/>
  <c r="K71" i="4"/>
  <c r="H71" i="4"/>
  <c r="E71" i="4"/>
  <c r="Q20" i="4"/>
  <c r="N20" i="4"/>
  <c r="K20" i="4"/>
  <c r="H20" i="4"/>
  <c r="E20" i="4"/>
  <c r="Q19" i="4"/>
  <c r="N19" i="4"/>
  <c r="K19" i="4"/>
  <c r="H19" i="4"/>
  <c r="E19" i="4"/>
  <c r="Q18" i="4"/>
  <c r="N18" i="4"/>
  <c r="K18" i="4"/>
  <c r="H18" i="4"/>
  <c r="E18" i="4"/>
  <c r="Q17" i="4"/>
  <c r="N17" i="4"/>
  <c r="K17" i="4"/>
  <c r="H17" i="4"/>
  <c r="E17" i="4"/>
  <c r="Q16" i="4"/>
  <c r="N16" i="4"/>
  <c r="K16" i="4"/>
  <c r="H16" i="4"/>
  <c r="E16" i="4"/>
  <c r="Q15" i="4"/>
  <c r="N15" i="4"/>
  <c r="K15" i="4"/>
  <c r="H15" i="4"/>
  <c r="E15" i="4"/>
  <c r="Q14" i="4"/>
  <c r="N14" i="4"/>
  <c r="K14" i="4"/>
  <c r="H14" i="4"/>
  <c r="E14" i="4"/>
  <c r="Q13" i="4"/>
  <c r="N13" i="4"/>
  <c r="K13" i="4"/>
  <c r="H13" i="4"/>
  <c r="E13" i="4"/>
  <c r="Q12" i="4"/>
  <c r="N12" i="4"/>
  <c r="K12" i="4"/>
  <c r="H12" i="4"/>
  <c r="E12" i="4"/>
  <c r="Q11" i="4"/>
  <c r="N11" i="4"/>
  <c r="K11" i="4"/>
  <c r="H11" i="4"/>
  <c r="E11" i="4"/>
  <c r="Q10" i="4"/>
  <c r="N10" i="4"/>
  <c r="K10" i="4"/>
  <c r="H10" i="4"/>
  <c r="E10" i="4"/>
  <c r="Q9" i="4"/>
  <c r="N9" i="4"/>
  <c r="K9" i="4"/>
  <c r="H9" i="4"/>
  <c r="E9" i="4"/>
  <c r="Q8" i="4"/>
  <c r="N8" i="4"/>
  <c r="K8" i="4"/>
  <c r="H8" i="4"/>
  <c r="E8" i="4"/>
  <c r="Q7" i="4"/>
  <c r="N7" i="4"/>
  <c r="K7" i="4"/>
  <c r="H7" i="4"/>
  <c r="E7" i="4"/>
  <c r="Q6" i="4"/>
  <c r="N6" i="4"/>
  <c r="K6" i="4"/>
  <c r="H6" i="4"/>
  <c r="E6" i="4"/>
  <c r="Q5" i="4"/>
  <c r="N5" i="4"/>
  <c r="K5" i="4"/>
  <c r="H5" i="4"/>
  <c r="E5" i="4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G6" i="1" s="1" a="1"/>
  <c r="D24" i="2"/>
  <c r="C24" i="2"/>
  <c r="K6" i="1" a="1"/>
  <c r="K6" i="1"/>
  <c r="I6" i="1" a="1"/>
  <c r="I6" i="1" s="1"/>
  <c r="G6" i="1"/>
  <c r="E6" i="1" a="1"/>
  <c r="E6" i="1"/>
  <c r="C6" i="1" a="1"/>
  <c r="C6" i="1"/>
  <c r="A6" i="1" a="1"/>
  <c r="A6" i="1" s="1"/>
  <c r="R93" i="4" l="1"/>
  <c r="R102" i="4"/>
  <c r="R124" i="4"/>
  <c r="R111" i="4"/>
  <c r="R118" i="4"/>
  <c r="R114" i="4"/>
  <c r="R116" i="4"/>
  <c r="R119" i="4"/>
  <c r="R122" i="4"/>
  <c r="R96" i="4"/>
  <c r="R105" i="4"/>
  <c r="R99" i="4"/>
  <c r="R104" i="4"/>
  <c r="R90" i="4"/>
  <c r="D6" i="8" s="1"/>
  <c r="R91" i="4"/>
  <c r="R98" i="4"/>
  <c r="R95" i="4"/>
  <c r="R56" i="4"/>
  <c r="R103" i="4"/>
  <c r="R92" i="4"/>
  <c r="R31" i="4"/>
  <c r="R39" i="4"/>
  <c r="R94" i="4"/>
  <c r="R100" i="4"/>
  <c r="R97" i="4"/>
  <c r="R60" i="4"/>
  <c r="R64" i="4"/>
  <c r="R52" i="4"/>
  <c r="R63" i="4"/>
  <c r="R51" i="4"/>
  <c r="R54" i="4"/>
  <c r="R57" i="4"/>
  <c r="R10" i="4"/>
  <c r="B6" i="8" s="1"/>
  <c r="R59" i="4"/>
  <c r="R65" i="4"/>
  <c r="R53" i="4"/>
  <c r="R62" i="4"/>
  <c r="R50" i="4"/>
  <c r="R55" i="4"/>
  <c r="R61" i="4"/>
  <c r="R34" i="4"/>
  <c r="R42" i="4"/>
  <c r="R58" i="4"/>
  <c r="R137" i="4"/>
  <c r="R27" i="4"/>
  <c r="R35" i="4"/>
  <c r="R29" i="4"/>
  <c r="R37" i="4"/>
  <c r="R41" i="4"/>
  <c r="R32" i="4"/>
  <c r="R40" i="4"/>
  <c r="R138" i="4"/>
  <c r="R33" i="4"/>
  <c r="R28" i="4"/>
  <c r="R30" i="4"/>
  <c r="R36" i="4"/>
  <c r="R38" i="4"/>
  <c r="R71" i="4"/>
  <c r="R84" i="4"/>
  <c r="R78" i="4"/>
  <c r="B15" i="8" s="1"/>
  <c r="R17" i="4"/>
  <c r="R132" i="4"/>
  <c r="R14" i="4"/>
  <c r="B10" i="8" s="1"/>
  <c r="R134" i="4"/>
  <c r="R145" i="4"/>
  <c r="R6" i="4"/>
  <c r="R19" i="4"/>
  <c r="R142" i="4"/>
  <c r="R12" i="4"/>
  <c r="B8" i="8" s="1"/>
  <c r="R76" i="4"/>
  <c r="B13" i="8" s="1"/>
  <c r="R82" i="4"/>
  <c r="R74" i="4"/>
  <c r="R8" i="4"/>
  <c r="R79" i="4"/>
  <c r="B16" i="8" s="1"/>
  <c r="R147" i="4"/>
  <c r="R20" i="4"/>
  <c r="R72" i="4"/>
  <c r="R133" i="4"/>
  <c r="R135" i="4"/>
  <c r="D5" i="8" s="1"/>
  <c r="R9" i="4"/>
  <c r="B5" i="8" s="1"/>
  <c r="R5" i="4"/>
  <c r="R75" i="4"/>
  <c r="B12" i="8" s="1"/>
  <c r="R141" i="4"/>
  <c r="R146" i="4"/>
  <c r="R136" i="4"/>
  <c r="R7" i="4"/>
  <c r="R80" i="4"/>
  <c r="B17" i="8" s="1"/>
  <c r="R143" i="4"/>
  <c r="R144" i="4"/>
  <c r="R13" i="4"/>
  <c r="B9" i="8" s="1"/>
  <c r="R15" i="4"/>
  <c r="B11" i="8" s="1"/>
  <c r="R16" i="4"/>
  <c r="R18" i="4"/>
  <c r="R83" i="4"/>
  <c r="R85" i="4"/>
  <c r="R140" i="4"/>
  <c r="R73" i="4"/>
  <c r="C29" i="8"/>
  <c r="B29" i="8"/>
  <c r="R11" i="4"/>
  <c r="B7" i="8" s="1"/>
  <c r="R139" i="4"/>
  <c r="C24" i="8"/>
  <c r="B24" i="8"/>
  <c r="C28" i="8"/>
  <c r="B28" i="8"/>
  <c r="R81" i="4"/>
  <c r="C18" i="8" s="1"/>
  <c r="R77" i="4"/>
  <c r="B14" i="8" s="1"/>
  <c r="B20" i="8"/>
  <c r="C22" i="8"/>
  <c r="B22" i="8"/>
  <c r="C20" i="8"/>
  <c r="C27" i="8"/>
  <c r="B27" i="8"/>
  <c r="C31" i="8"/>
  <c r="B31" i="8"/>
  <c r="C21" i="8"/>
  <c r="B21" i="8"/>
  <c r="C37" i="8"/>
  <c r="B37" i="8"/>
  <c r="C45" i="8"/>
  <c r="B45" i="8"/>
  <c r="B32" i="8"/>
  <c r="C33" i="8"/>
  <c r="B33" i="8"/>
  <c r="C41" i="8"/>
  <c r="B41" i="8"/>
  <c r="C34" i="8"/>
  <c r="B34" i="8"/>
  <c r="C42" i="8"/>
  <c r="B42" i="8"/>
  <c r="C36" i="8"/>
  <c r="B36" i="8"/>
  <c r="C44" i="8"/>
  <c r="B44" i="8"/>
  <c r="C38" i="8"/>
  <c r="B38" i="8"/>
  <c r="C46" i="8"/>
  <c r="B46" i="8"/>
  <c r="C16" i="8" l="1"/>
  <c r="C6" i="8"/>
  <c r="C8" i="8"/>
  <c r="C15" i="8"/>
  <c r="D10" i="8"/>
  <c r="C13" i="8"/>
  <c r="D13" i="8"/>
  <c r="D14" i="8"/>
  <c r="C17" i="8"/>
  <c r="C12" i="8"/>
  <c r="D7" i="8"/>
  <c r="D12" i="8"/>
  <c r="D11" i="8"/>
  <c r="C9" i="8"/>
  <c r="D15" i="8"/>
  <c r="D9" i="8"/>
  <c r="C7" i="8"/>
  <c r="C5" i="8"/>
  <c r="C10" i="8"/>
  <c r="D16" i="8"/>
  <c r="D17" i="8"/>
  <c r="C11" i="8"/>
  <c r="C32" i="8"/>
  <c r="B18" i="8"/>
  <c r="C19" i="8"/>
  <c r="B19" i="8"/>
  <c r="C35" i="8"/>
  <c r="B35" i="8"/>
  <c r="C47" i="8"/>
  <c r="B47" i="8"/>
  <c r="D8" i="8"/>
  <c r="C14" i="8"/>
  <c r="C48" i="8"/>
  <c r="B48" i="8"/>
  <c r="C40" i="8"/>
  <c r="B40" i="8"/>
  <c r="C39" i="8"/>
  <c r="B39" i="8"/>
  <c r="C43" i="8"/>
  <c r="B43" i="8"/>
  <c r="C30" i="8"/>
  <c r="B30" i="8"/>
  <c r="C26" i="8"/>
  <c r="B26" i="8"/>
  <c r="C25" i="8"/>
  <c r="B25" i="8"/>
  <c r="C23" i="8"/>
  <c r="B23" i="8"/>
</calcChain>
</file>

<file path=xl/sharedStrings.xml><?xml version="1.0" encoding="utf-8"?>
<sst xmlns="http://schemas.openxmlformats.org/spreadsheetml/2006/main" count="879" uniqueCount="362">
  <si>
    <t>🏆  Rahul — Warrior Physique Tracker</t>
  </si>
  <si>
    <t>16-Week V-Taper + Combat Program  |  Start Date: Fill in  |  Target: 68–70 kg @ 13–15% BF</t>
  </si>
  <si>
    <t>Current Weight (kg)</t>
  </si>
  <si>
    <t>Body Fat %</t>
  </si>
  <si>
    <t>Lean Mass (kg)</t>
  </si>
  <si>
    <t>Fat Mass (kg)</t>
  </si>
  <si>
    <t>Visceral Fat</t>
  </si>
  <si>
    <t>Waist (cm)</t>
  </si>
  <si>
    <t xml:space="preserve">  STARTING STATS (Week 0 Baseline)</t>
  </si>
  <si>
    <t>Weight</t>
  </si>
  <si>
    <t>Height</t>
  </si>
  <si>
    <t>Age</t>
  </si>
  <si>
    <t>BMI</t>
  </si>
  <si>
    <t>Body Fat</t>
  </si>
  <si>
    <t>Lean Mass</t>
  </si>
  <si>
    <t>77.8 kg</t>
  </si>
  <si>
    <t>178 cm</t>
  </si>
  <si>
    <t>35 yrs</t>
  </si>
  <si>
    <t>24.6</t>
  </si>
  <si>
    <t>23.7%</t>
  </si>
  <si>
    <t>59.4 kg</t>
  </si>
  <si>
    <t>Fat Mass</t>
  </si>
  <si>
    <t>Muscle Mass</t>
  </si>
  <si>
    <t>BMR</t>
  </si>
  <si>
    <t>Waist</t>
  </si>
  <si>
    <t>Chest</t>
  </si>
  <si>
    <t>18.4 kg</t>
  </si>
  <si>
    <t>55.6 kg</t>
  </si>
  <si>
    <t>8.8</t>
  </si>
  <si>
    <t>~1780 kcal</t>
  </si>
  <si>
    <t>92.5 cm</t>
  </si>
  <si>
    <t>101 cm</t>
  </si>
  <si>
    <t xml:space="preserve">  TARGET GOALS</t>
  </si>
  <si>
    <t>Target Weight</t>
  </si>
  <si>
    <t>Target BF%</t>
  </si>
  <si>
    <t>Target Waist</t>
  </si>
  <si>
    <t>Target Shoulders</t>
  </si>
  <si>
    <t>Visceral Fat Target</t>
  </si>
  <si>
    <t>Program Duration</t>
  </si>
  <si>
    <t>68–72 kg</t>
  </si>
  <si>
    <t>13–15%</t>
  </si>
  <si>
    <t>80–82 cm</t>
  </si>
  <si>
    <t>116+ cm</t>
  </si>
  <si>
    <t>&lt; 5.0</t>
  </si>
  <si>
    <t>16 weeks</t>
  </si>
  <si>
    <t xml:space="preserve">  PHASE GUIDE</t>
  </si>
  <si>
    <t>Phase 1</t>
  </si>
  <si>
    <t>Weeks 1–4</t>
  </si>
  <si>
    <t>Foundation + Fat Attack</t>
  </si>
  <si>
    <t>1900 kcal · 175g protein · Learn all movements</t>
  </si>
  <si>
    <t>Phase 2</t>
  </si>
  <si>
    <t>Weeks 5–8</t>
  </si>
  <si>
    <t>Hypertrophy + Combat Skill</t>
  </si>
  <si>
    <t>1800 kcal · 180g protein · Supersets + bag combos</t>
  </si>
  <si>
    <t>Phase 3</t>
  </si>
  <si>
    <t>Weeks 9–12</t>
  </si>
  <si>
    <t>Strength + Power</t>
  </si>
  <si>
    <t>1750 kcal · 185g protein · Explosive kicks + drops</t>
  </si>
  <si>
    <t>Phase 4</t>
  </si>
  <si>
    <t>Weeks 13–16</t>
  </si>
  <si>
    <t>Warrior Peak</t>
  </si>
  <si>
    <t>1850 kcal · 180g protein · Max intensity + maintenance</t>
  </si>
  <si>
    <t xml:space="preserve">  HOW TO USE THIS WORKBOOK</t>
  </si>
  <si>
    <t xml:space="preserve">  1.  Body Measurements → Fill in every SUNDAY morning, fasted, same time each week</t>
  </si>
  <si>
    <t xml:space="preserve">  2.  Nutrition Log → Fill in DAILY before bed. Be honest — this is your most important data.</t>
  </si>
  <si>
    <t xml:space="preserve">  3.  Workout Log sheets (Push/Pull/Legs/Combat) → Fill in during or immediately after each session</t>
  </si>
  <si>
    <t xml:space="preserve">  4.  Dashboard → Auto-updates from other sheets. Review weekly with your trainer (Claude)</t>
  </si>
  <si>
    <t xml:space="preserve">  5.  Share this file link with me anytime and I will analyze your progress and adjust the program</t>
  </si>
  <si>
    <t>📏  Body Measurements — Weekly Tracker</t>
  </si>
  <si>
    <t>Weigh yourself SUNDAY morning, fasted, before eating. Same time every week.</t>
  </si>
  <si>
    <t>Week #</t>
  </si>
  <si>
    <t>Date</t>
  </si>
  <si>
    <t>Weight
(kg)</t>
  </si>
  <si>
    <t>Body Fat
(%)</t>
  </si>
  <si>
    <t>Fat Mass
(kg)</t>
  </si>
  <si>
    <t>Lean Mass
(kg)</t>
  </si>
  <si>
    <t>Muscle Mass
(kg)</t>
  </si>
  <si>
    <t>Subcutaneous
Fat %</t>
  </si>
  <si>
    <t>Body Water
(%)</t>
  </si>
  <si>
    <t>Neck
(cm)</t>
  </si>
  <si>
    <t>Shoulders
(cm)</t>
  </si>
  <si>
    <t>Chest
(cm)</t>
  </si>
  <si>
    <t>Waist
(cm)</t>
  </si>
  <si>
    <t>Waist@Naval
(cm)</t>
  </si>
  <si>
    <t>Hips
(cm)</t>
  </si>
  <si>
    <t>Thighs
(cm)</t>
  </si>
  <si>
    <t>Bicep
(cm)</t>
  </si>
  <si>
    <t>Forearm
(cm)</t>
  </si>
  <si>
    <t>Calves
(cm)</t>
  </si>
  <si>
    <t>Notes</t>
  </si>
  <si>
    <t>0 (Baseline)</t>
  </si>
  <si>
    <t>Before start</t>
  </si>
  <si>
    <t>Starting baseline</t>
  </si>
  <si>
    <t>Needs to start check workout</t>
  </si>
  <si>
    <t>CHANGE vs BASELINE</t>
  </si>
  <si>
    <t>💪  Push Day — Session Log</t>
  </si>
  <si>
    <t>Fill in: Date · Week · Phase · then each exercise. Log every set as you do it.</t>
  </si>
  <si>
    <t>Date:</t>
  </si>
  <si>
    <t>Week #:</t>
  </si>
  <si>
    <t>Phase (1–4):</t>
  </si>
  <si>
    <t>Day (A or B):</t>
  </si>
  <si>
    <t>Monday</t>
  </si>
  <si>
    <t>Session #:</t>
  </si>
  <si>
    <t>Duration (min):</t>
  </si>
  <si>
    <t>Energy 1–10:</t>
  </si>
  <si>
    <t>Notes:</t>
  </si>
  <si>
    <t>Push A - Chest, Shoulders, Triceps</t>
  </si>
  <si>
    <t>Notes / Cues</t>
  </si>
  <si>
    <t>Set 1
Weight (kg)</t>
  </si>
  <si>
    <t>Set 1
Reps</t>
  </si>
  <si>
    <t>Set 1
1RM</t>
  </si>
  <si>
    <t>Set 2
Weight (kg)</t>
  </si>
  <si>
    <t>Set 2
Reps</t>
  </si>
  <si>
    <t>Set 2
1RM</t>
  </si>
  <si>
    <t>Set 3
Weight (kg)</t>
  </si>
  <si>
    <t>Set 3
Reps</t>
  </si>
  <si>
    <t>Set 3
1RM</t>
  </si>
  <si>
    <t>Set 4
Weight (kg)</t>
  </si>
  <si>
    <t>Set 4
Reps</t>
  </si>
  <si>
    <t>Set 4
1RM</t>
  </si>
  <si>
    <t>Set 5
Weight (kg)</t>
  </si>
  <si>
    <t>Set 5
Reps</t>
  </si>
  <si>
    <t>Set 5
1RM</t>
  </si>
  <si>
    <t>Best
1RM Today</t>
  </si>
  <si>
    <t>Default
Sets</t>
  </si>
  <si>
    <t>Default
Reps</t>
  </si>
  <si>
    <t>Arm circles + shoulder rolls</t>
  </si>
  <si>
    <t>60 sec each direction</t>
  </si>
  <si>
    <t>Band pull-apart</t>
  </si>
  <si>
    <t>2x15 reps</t>
  </si>
  <si>
    <t>Incline Push-ups</t>
  </si>
  <si>
    <t>slow 2x10 reps</t>
  </si>
  <si>
    <t>Light Dumbell Lateral Raise</t>
  </si>
  <si>
    <t>1x15 reps</t>
  </si>
  <si>
    <t>Dumbbell flat bench press</t>
  </si>
  <si>
    <t>Bench. Full ROM, elbows 45°. Primary chest builder.</t>
  </si>
  <si>
    <t>3</t>
  </si>
  <si>
    <t>12–15</t>
  </si>
  <si>
    <t>Dumbbell incline press</t>
  </si>
  <si>
    <t>45° bench angle. Hits upper chest for V-taper.</t>
  </si>
  <si>
    <t>15</t>
  </si>
  <si>
    <t>Dumbbell lateral raise</t>
  </si>
  <si>
    <t>Slow eccentric 3 sec. KEY for shoulder width.</t>
  </si>
  <si>
    <t>Standing dumbbell OHP</t>
  </si>
  <si>
    <t>Core braced. Don't flare elbows excessively.</t>
  </si>
  <si>
    <t>Cable/Band Chest Fly</t>
  </si>
  <si>
    <t>Deep stretch. Peak chest contraction.</t>
  </si>
  <si>
    <t>Tricep Cable/Band Pushdown</t>
  </si>
  <si>
    <t>Elbows fixed. Full extension. Triceps = 2/3 of arm.</t>
  </si>
  <si>
    <t>Overhead DB Tricep Extension</t>
  </si>
  <si>
    <t>Long head stretch. Arms bigger from behind.</t>
  </si>
  <si>
    <t>2</t>
  </si>
  <si>
    <t>BAG: Straight Punch Rounds</t>
  </si>
  <si>
    <t>3×1 min. Hands up. Exhale each punch.</t>
  </si>
  <si>
    <t>Door-frame chest stretch</t>
  </si>
  <si>
    <t>Across-body shoulder stretch</t>
  </si>
  <si>
    <t>Tricep Overhead Stretch</t>
  </si>
  <si>
    <t>Child's Pose</t>
  </si>
  <si>
    <t>1 min</t>
  </si>
  <si>
    <t>SESSION TOTAL SETS COMPLETED</t>
  </si>
  <si>
    <t xml:space="preserve">  Progressive overload rule: If you complete ALL reps of ALL sets, INCREASE the weight by 1–2.5 kg next session.</t>
  </si>
  <si>
    <t>Thursday</t>
  </si>
  <si>
    <t>Push B — Shoulders Focus, Chest, Triceps</t>
  </si>
  <si>
    <t>Rotator cuff internal/external rotation</t>
  </si>
  <si>
    <t>each 2x12  reps</t>
  </si>
  <si>
    <t>Wall shoulder CARs</t>
  </si>
  <si>
    <t>5 slow circles each arm</t>
  </si>
  <si>
    <t>Light lateral raise</t>
  </si>
  <si>
    <t>1×20 reps</t>
  </si>
  <si>
    <t>Dumbbell Arnold Press</t>
  </si>
  <si>
    <t>Rotation hits all 3 delt heads. V-taper essential.</t>
  </si>
  <si>
    <t>12–16</t>
  </si>
  <si>
    <t>Dumbbell front raise</t>
  </si>
  <si>
    <t>Combined arms. Controlled, no swinging.</t>
  </si>
  <si>
    <t>Dumbbell Lateral Raise (drop set)</t>
  </si>
  <si>
    <t>4 sec negative. Most important exercise for width.</t>
  </si>
  <si>
    <t>16</t>
  </si>
  <si>
    <t>Push-ups (feet elevated)</t>
  </si>
  <si>
    <t>Elevated feet shift load to upper chest.</t>
  </si>
  <si>
    <t>Dumbbell decline press</t>
  </si>
  <si>
    <t>Lower chest definition. Decline on bench.</t>
  </si>
  <si>
    <t>Cable/Band  overhead tricep</t>
  </si>
  <si>
    <t>Long head stretch. Width to arms.</t>
  </si>
  <si>
    <t>Diamond push-ups</t>
  </si>
  <si>
    <t>Bodyweight finisher. Medial tricep.</t>
  </si>
  <si>
    <t>Pec minor stretch (doorway)</t>
  </si>
  <si>
    <t>40 sec each side</t>
  </si>
  <si>
    <t>Overhead shoulder stretch</t>
  </si>
  <si>
    <t>30 sec each</t>
  </si>
  <si>
    <t>Wrist flexor/extensor stretch</t>
  </si>
  <si>
    <t>Thoracic spine foam roll / floor</t>
  </si>
  <si>
    <t>60 sec</t>
  </si>
  <si>
    <t>61 sec each direction</t>
  </si>
  <si>
    <t>4</t>
  </si>
  <si>
    <t>2 min</t>
  </si>
  <si>
    <t>61 sec</t>
  </si>
  <si>
    <t>20</t>
  </si>
  <si>
    <t>8</t>
  </si>
  <si>
    <t>45 sec each side</t>
  </si>
  <si>
    <t>12</t>
  </si>
  <si>
    <t>💪  Pull Day — Session Log</t>
  </si>
  <si>
    <t>Tuesday</t>
  </si>
  <si>
    <t>Pull A</t>
  </si>
  <si>
    <t>Scapular wall slides</t>
  </si>
  <si>
    <t>back on wall and slide hands on wall 2x10 reps</t>
  </si>
  <si>
    <t>Band face pull</t>
  </si>
  <si>
    <t>Dead hang on pull-up bar</t>
  </si>
  <si>
    <t>2x20 sec</t>
  </si>
  <si>
    <t>Band pull apart with external rotation</t>
  </si>
  <si>
    <t>2x12 reps</t>
  </si>
  <si>
    <t>Pull-ups / assisted pull-ups (wide Grip)</t>
  </si>
  <si>
    <t>V-taper KING. Band assist if needed.</t>
  </si>
  <si>
    <t>Max</t>
  </si>
  <si>
    <t>Dumbbell Bent-Over Row</t>
  </si>
  <si>
    <t xml:space="preserve">Elbows back, not flared. Squeeze at top.Mid-back thickness. </t>
  </si>
  <si>
    <t>Cable/Pulley Lat Pulldown</t>
  </si>
  <si>
    <t>Wide grip. Pull to upper chest. Stretch at top.</t>
  </si>
  <si>
    <t>Dumbbell Reverse Fly</t>
  </si>
  <si>
    <t>Rear delts. Slow arc. 3D shoulder look.</t>
  </si>
  <si>
    <t>Dumbbell Face Pull (bent over)</t>
  </si>
  <si>
    <t>Elbows high. Rotator cuff + posture.</t>
  </si>
  <si>
    <t>Dumbbell Hammer Curl</t>
  </si>
  <si>
    <t>60° bench. Long head bicep peak.</t>
  </si>
  <si>
    <t>Barbell-style curl (DB)</t>
  </si>
  <si>
    <t>Supinated grip. Full ROM, no swinging.</t>
  </si>
  <si>
    <t>BAG: Hooks + Uppercuts</t>
  </si>
  <si>
    <t>3×1 min. Rotate hips. Power from body not arm.</t>
  </si>
  <si>
    <t>Dead hang passive stretch</t>
  </si>
  <si>
    <t>close grip stretch back while hang, 2x30 sec</t>
  </si>
  <si>
    <t>Doorway lat stretch</t>
  </si>
  <si>
    <t>30 sec each side</t>
  </si>
  <si>
    <t>Bicep wall stretch</t>
  </si>
  <si>
    <t>Cat-cow spinal decompression</t>
  </si>
  <si>
    <t>Friday</t>
  </si>
  <si>
    <t>Pull B</t>
  </si>
  <si>
    <t>Resistance band pull-aparts</t>
  </si>
  <si>
    <t xml:space="preserve">3×15 reps
</t>
  </si>
  <si>
    <t>Cat-cow thoracic rotation</t>
  </si>
  <si>
    <t>2×10 reps</t>
  </si>
  <si>
    <t>Banded face pull</t>
  </si>
  <si>
    <t>2×12 reps</t>
  </si>
  <si>
    <t>Scapular pull-ups (just scaps)</t>
  </si>
  <si>
    <t>2x8 reps</t>
  </si>
  <si>
    <t>Wide-grip pull-ups</t>
  </si>
  <si>
    <t>Widest grip comfortable. Creates V-taper back.</t>
  </si>
  <si>
    <t>Cable/pulley seated row</t>
  </si>
  <si>
    <t>Neutral grip. Retract scapula. Mid-back thickness.</t>
  </si>
  <si>
    <t>Single-arm dumbbell row</t>
  </si>
  <si>
    <t>Knee on bench. Full ROM. Heavy is okay here.</t>
  </si>
  <si>
    <t>Dumbbell shrug</t>
  </si>
  <si>
    <t>Traps for that athletic look. Hold at top 1 sec.</t>
  </si>
  <si>
    <t>Resistance band pull-apart (supinated)</t>
  </si>
  <si>
    <t>Arm health, rear delt, external rotators.</t>
  </si>
  <si>
    <t>Incline dumbbell curl</t>
  </si>
  <si>
    <t>On bench 60°. Long head bicep. Peak builder.</t>
  </si>
  <si>
    <t>Concentration curl</t>
  </si>
  <si>
    <t>Elbow on inner thigh. Mind-muscle maximum.</t>
  </si>
  <si>
    <t>Dumbell Shoulder PullUps</t>
  </si>
  <si>
    <t>Pull dumbell till face height</t>
  </si>
  <si>
    <t>Lat stretch in doorway</t>
  </si>
  <si>
    <t>Child's pose with arm reach</t>
  </si>
  <si>
    <t>Supinator/pronator forearm stretch</t>
  </si>
  <si>
    <t>Neck side stretch</t>
  </si>
  <si>
    <t>20 sec each side</t>
  </si>
  <si>
    <t>Reverse Grip Dumbell curl</t>
  </si>
  <si>
    <t>45 sec each</t>
  </si>
  <si>
    <t>💪  Legs + Abs — Session Log</t>
  </si>
  <si>
    <t>Wednesday</t>
  </si>
  <si>
    <t>Legs + Abs A — Quads, Glutes, Core</t>
  </si>
  <si>
    <t>Hip circles + leg swings</t>
  </si>
  <si>
    <t xml:space="preserve">60 sec each direction
</t>
  </si>
  <si>
    <t>Bodyweight squat (slow)</t>
  </si>
  <si>
    <t xml:space="preserve">2×12 reps
</t>
  </si>
  <si>
    <t>Glute bridges</t>
  </si>
  <si>
    <t xml:space="preserve">2×15 reps
</t>
  </si>
  <si>
    <t>Band lateral walks</t>
  </si>
  <si>
    <t xml:space="preserve">2×15 steps
</t>
  </si>
  <si>
    <t>Dumbbell Goblet Squat</t>
  </si>
  <si>
    <t>Hold DB at chest. Full depth. Knees track toes.</t>
  </si>
  <si>
    <t>Dumbbell Romanian Deadlift</t>
  </si>
  <si>
    <t>Hinge at hips. Hamstring stretch. HUGE for glutes.</t>
  </si>
  <si>
    <t>Dumbbell Reverse Lunge</t>
  </si>
  <si>
    <t>Stepping back. Less knee stress than forward lunge.</t>
  </si>
  <si>
    <t>10 each</t>
  </si>
  <si>
    <t>Resistance Band Squat</t>
  </si>
  <si>
    <t>Band above knees. Activates glute med for width.</t>
  </si>
  <si>
    <t>Dumbbell Sumo Squat</t>
  </si>
  <si>
    <t>Wide stance. Inner quad and adductor focus.</t>
  </si>
  <si>
    <t>Ab Wheel Rollout</t>
  </si>
  <si>
    <t>Slow controlled. BEST core exercise you own.</t>
  </si>
  <si>
    <t>Hanging Knee Raises (Pull-up Bar)</t>
  </si>
  <si>
    <t>Don't swing. Lower slowly.</t>
  </si>
  <si>
    <t>Plank Variations</t>
  </si>
  <si>
    <t>Side plank alternating. Oblique definition.</t>
  </si>
  <si>
    <t>Standing quad stretch</t>
  </si>
  <si>
    <t xml:space="preserve">30 sec each
</t>
  </si>
  <si>
    <t>Pigeon pose (hip flexor)</t>
  </si>
  <si>
    <t xml:space="preserve">45 sec each side
</t>
  </si>
  <si>
    <t>Seated hamstring stretch</t>
  </si>
  <si>
    <t xml:space="preserve">45 sec each
</t>
  </si>
  <si>
    <t>Glute figure-4 stretch</t>
  </si>
  <si>
    <t>30 sec</t>
  </si>
  <si>
    <t>Saturday</t>
  </si>
  <si>
    <t>Legs + Abs B — Posterior Chain, Calves, Obliques</t>
  </si>
  <si>
    <t>Resistance Band Walk (Lateral + Fwd)</t>
  </si>
  <si>
    <t>2×15 steps each</t>
  </si>
  <si>
    <t>Hip Thrust Hold (Bodyweight)</t>
  </si>
  <si>
    <t>2×10 reps, 2 sec hold</t>
  </si>
  <si>
    <t>Inchworm Walk-outs</t>
  </si>
  <si>
    <t>2×8 reps</t>
  </si>
  <si>
    <t>Ankle Circles + Calf Raises</t>
  </si>
  <si>
    <t>20 reps each</t>
  </si>
  <si>
    <t>Dumbbell Stiff-Leg Deadlift</t>
  </si>
  <si>
    <t>Hamstring dominant. Slower than RDL. Feel the stretch.</t>
  </si>
  <si>
    <t>Dumbbell Hip Thrust (Bench)</t>
  </si>
  <si>
    <t>Upper back on bench, DB on hips. Glute max.</t>
  </si>
  <si>
    <t>Bulgarian Split Squat (DB)</t>
  </si>
  <si>
    <t>Hardest leg exercise you'll do. Quads + glutes.</t>
  </si>
  <si>
    <t>11 each</t>
  </si>
  <si>
    <t>Resistance Band Glute Kickback</t>
  </si>
  <si>
    <t>On all fours. Band around ankle. Glute activation.</t>
  </si>
  <si>
    <t>Dumbbell Calf Raise (Standing)</t>
  </si>
  <si>
    <t>Slow negative 3 sec. Full ROM. Calves need volume.</t>
  </si>
  <si>
    <t>Ab Wheel Rollout (Advanced)</t>
  </si>
  <si>
    <t>Phase 2: feet elevated. Phase 3: single-arm attempt.</t>
  </si>
  <si>
    <t>Decline Sit-up / Russian Twist</t>
  </si>
  <si>
    <t>Use bench decline. Add DB for resistance.</t>
  </si>
  <si>
    <t>Leg Raise (Hanging or Floor)</t>
  </si>
  <si>
    <t>Lower abs. Slow, controlled descent.</t>
  </si>
  <si>
    <t>90-90 Hip Stretch</t>
  </si>
  <si>
    <t>Lying Hamstring Stretch (Band)</t>
  </si>
  <si>
    <t>Calf Doorway Stretch</t>
  </si>
  <si>
    <t>30 sec each (bent + straight knee)</t>
  </si>
  <si>
    <t>31 sec</t>
  </si>
  <si>
    <t>Supine Spinal Twist</t>
  </si>
  <si>
    <t>Exercise</t>
  </si>
  <si>
    <t>📈  Strength Progress — 1RM Tracker</t>
  </si>
  <si>
    <t>Best estimated 1RM per exercise per session. Add a new column each time you train.</t>
  </si>
  <si>
    <t>Session 1</t>
  </si>
  <si>
    <t>Session 2</t>
  </si>
  <si>
    <t>Session 3</t>
  </si>
  <si>
    <t>Session 4</t>
  </si>
  <si>
    <t>Session 5</t>
  </si>
  <si>
    <t>Session 6</t>
  </si>
  <si>
    <t>Session 7</t>
  </si>
  <si>
    <t>Session 8</t>
  </si>
  <si>
    <t>Session 9</t>
  </si>
  <si>
    <t>Session 10</t>
  </si>
  <si>
    <t>Session 11</t>
  </si>
  <si>
    <t>Session 12</t>
  </si>
  <si>
    <t>Session 13</t>
  </si>
  <si>
    <t>Session 14</t>
  </si>
  <si>
    <t>Session 15</t>
  </si>
  <si>
    <t>Session 16</t>
  </si>
  <si>
    <t>Session 17</t>
  </si>
  <si>
    <t>Session 18</t>
  </si>
  <si>
    <t>Session 19</t>
  </si>
  <si>
    <t>Session 20</t>
  </si>
  <si>
    <t>Session 21</t>
  </si>
  <si>
    <t>Session 22</t>
  </si>
  <si>
    <t>Session 23</t>
  </si>
  <si>
    <t>Session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</si>
</sst>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 mmmm\ yyyy"/>
    <numFmt numFmtId="165" formatCode="0.0"/>
    <numFmt numFmtId="166" formatCode="dd/mm/yyyy"/>
    <numFmt numFmtId="167" formatCode="\+0.0;\-0.0;0.0"/>
  </numFmts>
  <fonts count="24" x14ac:knownFonts="1">
    <font>
      <sz val="11"/>
      <color theme="1"/>
      <name val="Calibri"/>
      <scheme val="minor"/>
    </font>
    <font>
      <b/>
      <sz val="18"/>
      <color rgb="FFFFFFFF"/>
      <name val="Arial"/>
    </font>
    <font>
      <sz val="11"/>
      <name val="Calibri"/>
    </font>
    <font>
      <i/>
      <sz val="10"/>
      <color rgb="FFD85A30"/>
      <name val="Arial"/>
    </font>
    <font>
      <sz val="9"/>
      <color rgb="FF888780"/>
      <name val="Arial"/>
    </font>
    <font>
      <b/>
      <sz val="16"/>
      <color rgb="FFD85A30"/>
      <name val="Arial"/>
    </font>
    <font>
      <b/>
      <sz val="9"/>
      <color rgb="FFD85A30"/>
      <name val="Arial"/>
    </font>
    <font>
      <b/>
      <sz val="12"/>
      <color rgb="FF1A1A2E"/>
      <name val="Arial"/>
    </font>
    <font>
      <b/>
      <sz val="9"/>
      <color rgb="FF1D9E75"/>
      <name val="Arial"/>
    </font>
    <font>
      <b/>
      <sz val="12"/>
      <color rgb="FF1D9E75"/>
      <name val="Arial"/>
    </font>
    <font>
      <b/>
      <sz val="9"/>
      <color rgb="FF534AB7"/>
      <name val="Arial"/>
    </font>
    <font>
      <b/>
      <sz val="10"/>
      <color rgb="FF1A1A2E"/>
      <name val="Arial"/>
    </font>
    <font>
      <sz val="10"/>
      <color rgb="FF1A1A2E"/>
      <name val="Arial"/>
    </font>
    <font>
      <b/>
      <sz val="11"/>
      <color rgb="FFFFFFFF"/>
      <name val="Arial"/>
    </font>
    <font>
      <sz val="11"/>
      <color theme="1"/>
      <name val="Calibri"/>
      <scheme val="minor"/>
    </font>
    <font>
      <b/>
      <sz val="10"/>
      <color rgb="FFD85A30"/>
      <name val="Arial"/>
    </font>
    <font>
      <sz val="11"/>
      <color theme="1"/>
      <name val="Calibri"/>
    </font>
    <font>
      <b/>
      <sz val="10"/>
      <color rgb="FFFFFFFF"/>
      <name val="Arial"/>
    </font>
    <font>
      <b/>
      <sz val="10"/>
      <color rgb="FF1A1A1A"/>
      <name val="Arial"/>
    </font>
    <font>
      <i/>
      <sz val="9"/>
      <color rgb="FF888780"/>
      <name val="Arial"/>
    </font>
    <font>
      <sz val="10"/>
      <color rgb="FFBA7517"/>
      <name val="Arial"/>
    </font>
    <font>
      <i/>
      <sz val="10"/>
      <color rgb="FF1D9E75"/>
      <name val="Arial"/>
    </font>
    <font>
      <b/>
      <sz val="10"/>
      <color rgb="FF1D9E75"/>
      <name val="Arial"/>
    </font>
    <font>
      <b/>
      <sz val="10"/>
      <color rgb="FF534AB7"/>
      <name val="Arial"/>
    </font>
  </fonts>
  <fills count="12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F5F4F0"/>
        <bgColor rgb="FFF5F4F0"/>
      </patternFill>
    </fill>
    <fill>
      <patternFill patternType="solid">
        <fgColor rgb="FFFFFFFF"/>
        <bgColor rgb="FFFFFFFF"/>
      </patternFill>
    </fill>
    <fill>
      <patternFill patternType="solid">
        <fgColor rgb="FFFAD7CC"/>
        <bgColor rgb="FFFAD7CC"/>
      </patternFill>
    </fill>
    <fill>
      <patternFill patternType="solid">
        <fgColor rgb="FFC8F0E4"/>
        <bgColor rgb="FFC8F0E4"/>
      </patternFill>
    </fill>
    <fill>
      <patternFill patternType="solid">
        <fgColor rgb="FFDDDCF7"/>
        <bgColor rgb="FFDDDCF7"/>
      </patternFill>
    </fill>
    <fill>
      <patternFill patternType="solid">
        <fgColor rgb="FFFAEEDA"/>
        <bgColor rgb="FFFAEEDA"/>
      </patternFill>
    </fill>
    <fill>
      <patternFill patternType="solid">
        <fgColor rgb="FFD85A30"/>
        <bgColor rgb="FFD85A30"/>
      </patternFill>
    </fill>
    <fill>
      <patternFill patternType="solid">
        <fgColor rgb="FF1D9E75"/>
        <bgColor rgb="FF1D9E75"/>
      </patternFill>
    </fill>
    <fill>
      <patternFill patternType="solid">
        <fgColor rgb="FF534AB7"/>
        <bgColor rgb="FF534AB7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0997B"/>
      </left>
      <right/>
      <top style="thin">
        <color rgb="FFF0997B"/>
      </top>
      <bottom style="thin">
        <color rgb="FFF0997B"/>
      </bottom>
      <diagonal/>
    </border>
    <border>
      <left/>
      <right style="thin">
        <color rgb="FFF0997B"/>
      </right>
      <top style="thin">
        <color rgb="FFF0997B"/>
      </top>
      <bottom style="thin">
        <color rgb="FFF0997B"/>
      </bottom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  <border>
      <left/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1D9E75"/>
      </left>
      <right/>
      <top style="thin">
        <color rgb="FF1D9E75"/>
      </top>
      <bottom style="thin">
        <color rgb="FF1D9E75"/>
      </bottom>
      <diagonal/>
    </border>
    <border>
      <left/>
      <right style="thin">
        <color rgb="FF1D9E75"/>
      </right>
      <top style="thin">
        <color rgb="FF1D9E75"/>
      </top>
      <bottom style="thin">
        <color rgb="FF1D9E75"/>
      </bottom>
      <diagonal/>
    </border>
    <border>
      <left/>
      <right/>
      <top/>
      <bottom style="thin">
        <color rgb="FFD3D1C7"/>
      </bottom>
      <diagonal/>
    </border>
    <border>
      <left style="thin">
        <color rgb="FF888780"/>
      </left>
      <right style="thin">
        <color rgb="FF888780"/>
      </right>
      <top style="thin">
        <color rgb="FF888780"/>
      </top>
      <bottom style="thin">
        <color rgb="FF888780"/>
      </bottom>
      <diagonal/>
    </border>
    <border>
      <left style="thin">
        <color rgb="FFF0997B"/>
      </left>
      <right style="thin">
        <color rgb="FFF0997B"/>
      </right>
      <top style="thin">
        <color rgb="FFF0997B"/>
      </top>
      <bottom style="thin">
        <color rgb="FFF0997B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1D9E75"/>
      </left>
      <right style="thin">
        <color rgb="FF1D9E75"/>
      </right>
      <top style="thin">
        <color rgb="FF1D9E75"/>
      </top>
      <bottom style="thin">
        <color rgb="FF1D9E75"/>
      </bottom>
      <diagonal/>
    </border>
    <border>
      <left/>
      <right/>
      <top/>
      <bottom/>
      <diagonal/>
    </border>
    <border>
      <left style="thin">
        <color rgb="FFBA7517"/>
      </left>
      <right style="thin">
        <color rgb="FFBA7517"/>
      </right>
      <top style="thin">
        <color rgb="FFBA7517"/>
      </top>
      <bottom style="thin">
        <color rgb="FFBA7517"/>
      </bottom>
      <diagonal/>
    </border>
    <border>
      <left style="thin">
        <color rgb="FF5DCAA5"/>
      </left>
      <right style="thin">
        <color rgb="FF5DCAA5"/>
      </right>
      <top style="thin">
        <color rgb="FF5DCAA5"/>
      </top>
      <bottom style="thin">
        <color rgb="FF5DCAA5"/>
      </bottom>
      <diagonal/>
    </border>
    <border>
      <left style="thin">
        <color rgb="FFAFA9EC"/>
      </left>
      <right style="thin">
        <color rgb="FFAFA9EC"/>
      </right>
      <top style="thin">
        <color rgb="FFAFA9EC"/>
      </top>
      <bottom style="thin">
        <color rgb="FFAFA9EC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1" fillId="3" borderId="10" xfId="0" applyFont="1" applyFill="1" applyBorder="1" applyAlignment="1">
      <alignment horizontal="left" vertical="center"/>
    </xf>
    <xf numFmtId="0" fontId="12" fillId="3" borderId="10" xfId="0" applyFont="1" applyFill="1" applyBorder="1" applyAlignment="1">
      <alignment horizontal="left" vertical="center"/>
    </xf>
    <xf numFmtId="0" fontId="11" fillId="4" borderId="10" xfId="0" applyFont="1" applyFill="1" applyBorder="1" applyAlignment="1">
      <alignment horizontal="left" vertical="center"/>
    </xf>
    <xf numFmtId="0" fontId="12" fillId="4" borderId="10" xfId="0" applyFont="1" applyFill="1" applyBorder="1" applyAlignment="1">
      <alignment horizontal="left" vertical="center"/>
    </xf>
    <xf numFmtId="0" fontId="13" fillId="2" borderId="11" xfId="0" applyFont="1" applyFill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0" fontId="15" fillId="5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164" fontId="16" fillId="0" borderId="13" xfId="0" applyNumberFormat="1" applyFont="1" applyBorder="1" applyAlignment="1">
      <alignment horizontal="center" vertical="center"/>
    </xf>
    <xf numFmtId="165" fontId="16" fillId="3" borderId="13" xfId="0" applyNumberFormat="1" applyFont="1" applyFill="1" applyBorder="1" applyAlignment="1">
      <alignment horizontal="center" vertical="center"/>
    </xf>
    <xf numFmtId="0" fontId="16" fillId="8" borderId="13" xfId="0" applyFont="1" applyFill="1" applyBorder="1" applyAlignment="1">
      <alignment horizontal="left" vertical="center" wrapText="1"/>
    </xf>
    <xf numFmtId="166" fontId="16" fillId="0" borderId="13" xfId="0" applyNumberFormat="1" applyFont="1" applyBorder="1" applyAlignment="1">
      <alignment horizontal="center" vertical="center"/>
    </xf>
    <xf numFmtId="165" fontId="16" fillId="4" borderId="13" xfId="0" applyNumberFormat="1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167" fontId="18" fillId="6" borderId="14" xfId="0" applyNumberFormat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right" vertical="center" wrapText="1"/>
    </xf>
    <xf numFmtId="0" fontId="16" fillId="4" borderId="12" xfId="0" applyFont="1" applyFill="1" applyBorder="1" applyAlignment="1">
      <alignment wrapText="1"/>
    </xf>
    <xf numFmtId="0" fontId="11" fillId="5" borderId="15" xfId="0" applyFont="1" applyFill="1" applyBorder="1" applyAlignment="1">
      <alignment horizontal="right" vertical="center"/>
    </xf>
    <xf numFmtId="0" fontId="16" fillId="4" borderId="12" xfId="0" applyFont="1" applyFill="1" applyBorder="1"/>
    <xf numFmtId="0" fontId="15" fillId="4" borderId="0" xfId="0" applyFont="1" applyFill="1" applyAlignment="1">
      <alignment horizontal="left" vertical="center" wrapText="1"/>
    </xf>
    <xf numFmtId="0" fontId="13" fillId="9" borderId="11" xfId="0" applyFont="1" applyFill="1" applyBorder="1" applyAlignment="1">
      <alignment horizontal="center" vertical="center" wrapText="1"/>
    </xf>
    <xf numFmtId="0" fontId="13" fillId="9" borderId="11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left" vertical="center" wrapText="1"/>
    </xf>
    <xf numFmtId="0" fontId="19" fillId="5" borderId="13" xfId="0" applyFont="1" applyFill="1" applyBorder="1" applyAlignment="1">
      <alignment horizontal="left" vertical="center" wrapText="1"/>
    </xf>
    <xf numFmtId="165" fontId="8" fillId="6" borderId="14" xfId="0" applyNumberFormat="1" applyFont="1" applyFill="1" applyBorder="1" applyAlignment="1">
      <alignment horizontal="center" vertical="center"/>
    </xf>
    <xf numFmtId="165" fontId="13" fillId="9" borderId="12" xfId="0" applyNumberFormat="1" applyFont="1" applyFill="1" applyBorder="1" applyAlignment="1">
      <alignment horizontal="center" vertical="center"/>
    </xf>
    <xf numFmtId="0" fontId="20" fillId="8" borderId="16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left" vertical="center" wrapText="1"/>
    </xf>
    <xf numFmtId="0" fontId="19" fillId="4" borderId="13" xfId="0" applyFont="1" applyFill="1" applyBorder="1" applyAlignment="1">
      <alignment horizontal="left" vertical="center" wrapText="1"/>
    </xf>
    <xf numFmtId="0" fontId="11" fillId="6" borderId="15" xfId="0" applyFont="1" applyFill="1" applyBorder="1" applyAlignment="1">
      <alignment horizontal="right" vertical="center" wrapText="1"/>
    </xf>
    <xf numFmtId="0" fontId="16" fillId="4" borderId="17" xfId="0" applyFont="1" applyFill="1" applyBorder="1" applyAlignment="1">
      <alignment wrapText="1"/>
    </xf>
    <xf numFmtId="0" fontId="11" fillId="6" borderId="15" xfId="0" applyFont="1" applyFill="1" applyBorder="1" applyAlignment="1">
      <alignment horizontal="right" vertical="center"/>
    </xf>
    <xf numFmtId="0" fontId="16" fillId="4" borderId="17" xfId="0" applyFont="1" applyFill="1" applyBorder="1"/>
    <xf numFmtId="0" fontId="13" fillId="10" borderId="11" xfId="0" applyFont="1" applyFill="1" applyBorder="1" applyAlignment="1">
      <alignment horizontal="center" vertical="center" wrapText="1"/>
    </xf>
    <xf numFmtId="0" fontId="13" fillId="10" borderId="11" xfId="0" applyFont="1" applyFill="1" applyBorder="1" applyAlignment="1">
      <alignment horizontal="center" vertical="center"/>
    </xf>
    <xf numFmtId="0" fontId="22" fillId="6" borderId="17" xfId="0" applyFont="1" applyFill="1" applyBorder="1" applyAlignment="1">
      <alignment horizontal="left" vertical="center" wrapText="1"/>
    </xf>
    <xf numFmtId="0" fontId="19" fillId="6" borderId="13" xfId="0" applyFont="1" applyFill="1" applyBorder="1" applyAlignment="1">
      <alignment horizontal="left" vertical="center" wrapText="1"/>
    </xf>
    <xf numFmtId="165" fontId="13" fillId="10" borderId="17" xfId="0" applyNumberFormat="1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left" vertical="center" wrapText="1"/>
    </xf>
    <xf numFmtId="0" fontId="11" fillId="7" borderId="15" xfId="0" applyFont="1" applyFill="1" applyBorder="1" applyAlignment="1">
      <alignment horizontal="right" vertical="center" wrapText="1"/>
    </xf>
    <xf numFmtId="0" fontId="16" fillId="4" borderId="18" xfId="0" applyFont="1" applyFill="1" applyBorder="1" applyAlignment="1">
      <alignment wrapText="1"/>
    </xf>
    <xf numFmtId="0" fontId="11" fillId="7" borderId="15" xfId="0" applyFont="1" applyFill="1" applyBorder="1" applyAlignment="1">
      <alignment horizontal="right" vertical="center"/>
    </xf>
    <xf numFmtId="0" fontId="16" fillId="4" borderId="18" xfId="0" applyFont="1" applyFill="1" applyBorder="1"/>
    <xf numFmtId="0" fontId="13" fillId="11" borderId="11" xfId="0" applyFont="1" applyFill="1" applyBorder="1" applyAlignment="1">
      <alignment horizontal="center" vertical="center" wrapText="1"/>
    </xf>
    <xf numFmtId="0" fontId="13" fillId="11" borderId="11" xfId="0" applyFont="1" applyFill="1" applyBorder="1" applyAlignment="1">
      <alignment horizontal="center" vertical="center"/>
    </xf>
    <xf numFmtId="0" fontId="23" fillId="4" borderId="18" xfId="0" applyFont="1" applyFill="1" applyBorder="1" applyAlignment="1">
      <alignment horizontal="left" vertical="center" wrapText="1"/>
    </xf>
    <xf numFmtId="165" fontId="13" fillId="11" borderId="18" xfId="0" applyNumberFormat="1" applyFont="1" applyFill="1" applyBorder="1" applyAlignment="1">
      <alignment horizontal="center" vertical="center"/>
    </xf>
    <xf numFmtId="0" fontId="23" fillId="7" borderId="18" xfId="0" applyFont="1" applyFill="1" applyBorder="1" applyAlignment="1">
      <alignment horizontal="left" vertical="center" wrapText="1"/>
    </xf>
    <xf numFmtId="0" fontId="19" fillId="7" borderId="13" xfId="0" applyFont="1" applyFill="1" applyBorder="1" applyAlignment="1">
      <alignment horizontal="left" vertical="center" wrapText="1"/>
    </xf>
    <xf numFmtId="10" fontId="14" fillId="0" borderId="0" xfId="0" applyNumberFormat="1" applyFont="1"/>
    <xf numFmtId="10" fontId="13" fillId="2" borderId="11" xfId="0" applyNumberFormat="1" applyFont="1" applyFill="1" applyBorder="1" applyAlignment="1">
      <alignment horizontal="center" vertical="center"/>
    </xf>
    <xf numFmtId="165" fontId="16" fillId="4" borderId="13" xfId="0" applyNumberFormat="1" applyFont="1" applyFill="1" applyBorder="1" applyAlignment="1">
      <alignment horizontal="center" vertical="center" wrapText="1"/>
    </xf>
    <xf numFmtId="10" fontId="16" fillId="4" borderId="13" xfId="0" applyNumberFormat="1" applyFont="1" applyFill="1" applyBorder="1" applyAlignment="1">
      <alignment horizontal="center" vertical="center"/>
    </xf>
    <xf numFmtId="165" fontId="16" fillId="3" borderId="13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8" fillId="6" borderId="1" xfId="0" applyFont="1" applyFill="1" applyBorder="1" applyAlignment="1">
      <alignment horizontal="left" vertical="center"/>
    </xf>
    <xf numFmtId="0" fontId="2" fillId="0" borderId="2" xfId="0" applyFont="1" applyBorder="1"/>
    <xf numFmtId="0" fontId="9" fillId="6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/>
    <xf numFmtId="0" fontId="5" fillId="4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6" fillId="5" borderId="1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7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wrapText="1"/>
    </xf>
    <xf numFmtId="0" fontId="21" fillId="6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wrapText="1"/>
    </xf>
    <xf numFmtId="0" fontId="21" fillId="6" borderId="15" xfId="0" applyFont="1" applyFill="1" applyBorder="1" applyAlignment="1">
      <alignment wrapText="1"/>
    </xf>
    <xf numFmtId="0" fontId="2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2E"/>
  </sheetPr>
  <dimension ref="A1:L1000"/>
  <sheetViews>
    <sheetView showGridLines="0" topLeftCell="A10" workbookViewId="0">
      <selection sqref="A1:L1"/>
    </sheetView>
  </sheetViews>
  <sheetFormatPr defaultColWidth="14.42578125" defaultRowHeight="15" customHeight="1" x14ac:dyDescent="0.25"/>
  <cols>
    <col min="1" max="1" width="14" customWidth="1"/>
    <col min="2" max="2" width="2" customWidth="1"/>
    <col min="3" max="3" width="14" customWidth="1"/>
    <col min="4" max="4" width="2" customWidth="1"/>
    <col min="5" max="5" width="18" customWidth="1"/>
    <col min="6" max="6" width="2" customWidth="1"/>
    <col min="7" max="7" width="14" customWidth="1"/>
    <col min="8" max="8" width="2" customWidth="1"/>
    <col min="9" max="9" width="22" customWidth="1"/>
    <col min="10" max="10" width="2" customWidth="1"/>
    <col min="11" max="11" width="14" customWidth="1"/>
    <col min="12" max="12" width="2" customWidth="1"/>
    <col min="13" max="26" width="8.7109375" customWidth="1"/>
  </cols>
  <sheetData>
    <row r="1" spans="1:12" ht="36" customHeight="1" x14ac:dyDescent="0.25">
      <c r="A1" s="62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7"/>
    </row>
    <row r="2" spans="1:12" ht="19.5" customHeight="1" x14ac:dyDescent="0.25">
      <c r="A2" s="63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7"/>
    </row>
    <row r="4" spans="1:12" ht="13.5" customHeight="1" x14ac:dyDescent="0.25"/>
    <row r="5" spans="1:12" x14ac:dyDescent="0.25">
      <c r="A5" s="56" t="s">
        <v>2</v>
      </c>
      <c r="B5" s="57"/>
      <c r="C5" s="56" t="s">
        <v>3</v>
      </c>
      <c r="D5" s="57"/>
      <c r="E5" s="56" t="s">
        <v>4</v>
      </c>
      <c r="F5" s="57"/>
      <c r="G5" s="56" t="s">
        <v>5</v>
      </c>
      <c r="H5" s="57"/>
      <c r="I5" s="56" t="s">
        <v>6</v>
      </c>
      <c r="J5" s="57"/>
      <c r="K5" s="56" t="s">
        <v>7</v>
      </c>
      <c r="L5" s="57"/>
    </row>
    <row r="6" spans="1:12" ht="20.25" x14ac:dyDescent="0.25">
      <c r="A6" s="64">
        <f t="array" ref="A6">IF(COUNTA('Body Measurements'!B:B)&gt;1,INDEX('Body Measurements'!B:B,COUNTA('Body Measurements'!B:B)),"—")</f>
        <v>0</v>
      </c>
      <c r="B6" s="65"/>
      <c r="C6" s="64">
        <f t="array" ref="C6">IF(COUNTA('Body Measurements'!D:D)&gt;1,INDEX('Body Measurements'!D:D,COUNTA('Body Measurements'!D:D)),"—")</f>
        <v>0</v>
      </c>
      <c r="D6" s="65"/>
      <c r="E6" s="64">
        <f t="array" ref="E6">IF(COUNTA('Body Measurements'!F:F)&gt;1,INDEX('Body Measurements'!F:F,COUNTA('Body Measurements'!F:F)),"—")</f>
        <v>0</v>
      </c>
      <c r="F6" s="65"/>
      <c r="G6" s="64">
        <f t="array" ref="G6">IF(COUNTA('Body Measurements'!E:E)&gt;1,INDEX('Body Measurements'!E:E,COUNTA('Body Measurements'!E:E)),"—")</f>
        <v>0</v>
      </c>
      <c r="H6" s="65"/>
      <c r="I6" s="64">
        <f t="array" ref="I6">IF(COUNTA('Body Measurements'!G:G)&gt;1,INDEX('Body Measurements'!G:G,COUNTA('Body Measurements'!G:G)),"—")</f>
        <v>0</v>
      </c>
      <c r="J6" s="65"/>
      <c r="K6" s="64">
        <f t="array" ref="K6">IF(COUNTA('Body Measurements'!J:J)&gt;1,INDEX('Body Measurements'!J:J,COUNTA('Body Measurements'!J:J)),"—")</f>
        <v>0</v>
      </c>
      <c r="L6" s="65"/>
    </row>
    <row r="8" spans="1:12" ht="13.5" customHeight="1" x14ac:dyDescent="0.25"/>
    <row r="9" spans="1:12" ht="18" customHeight="1" x14ac:dyDescent="0.25">
      <c r="A9" s="66" t="s">
        <v>8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7"/>
    </row>
    <row r="10" spans="1:12" x14ac:dyDescent="0.25">
      <c r="A10" s="56" t="s">
        <v>9</v>
      </c>
      <c r="B10" s="57"/>
      <c r="C10" s="56" t="s">
        <v>10</v>
      </c>
      <c r="D10" s="57"/>
      <c r="E10" s="56" t="s">
        <v>11</v>
      </c>
      <c r="F10" s="57"/>
      <c r="G10" s="56" t="s">
        <v>12</v>
      </c>
      <c r="H10" s="57"/>
      <c r="I10" s="56" t="s">
        <v>13</v>
      </c>
      <c r="J10" s="57"/>
      <c r="K10" s="56" t="s">
        <v>14</v>
      </c>
      <c r="L10" s="57"/>
    </row>
    <row r="11" spans="1:12" ht="15.75" x14ac:dyDescent="0.25">
      <c r="A11" s="67" t="s">
        <v>15</v>
      </c>
      <c r="B11" s="68"/>
      <c r="C11" s="67" t="s">
        <v>16</v>
      </c>
      <c r="D11" s="68"/>
      <c r="E11" s="67" t="s">
        <v>17</v>
      </c>
      <c r="F11" s="68"/>
      <c r="G11" s="67" t="s">
        <v>18</v>
      </c>
      <c r="H11" s="68"/>
      <c r="I11" s="67" t="s">
        <v>19</v>
      </c>
      <c r="J11" s="68"/>
      <c r="K11" s="67" t="s">
        <v>20</v>
      </c>
      <c r="L11" s="68"/>
    </row>
    <row r="12" spans="1:12" x14ac:dyDescent="0.25">
      <c r="A12" s="56" t="s">
        <v>21</v>
      </c>
      <c r="B12" s="57"/>
      <c r="C12" s="56" t="s">
        <v>22</v>
      </c>
      <c r="D12" s="57"/>
      <c r="E12" s="56" t="s">
        <v>6</v>
      </c>
      <c r="F12" s="57"/>
      <c r="G12" s="56" t="s">
        <v>23</v>
      </c>
      <c r="H12" s="57"/>
      <c r="I12" s="56" t="s">
        <v>24</v>
      </c>
      <c r="J12" s="57"/>
      <c r="K12" s="56" t="s">
        <v>25</v>
      </c>
      <c r="L12" s="57"/>
    </row>
    <row r="13" spans="1:12" ht="15.75" x14ac:dyDescent="0.25">
      <c r="A13" s="67" t="s">
        <v>26</v>
      </c>
      <c r="B13" s="68"/>
      <c r="C13" s="67" t="s">
        <v>27</v>
      </c>
      <c r="D13" s="68"/>
      <c r="E13" s="67" t="s">
        <v>28</v>
      </c>
      <c r="F13" s="68"/>
      <c r="G13" s="67" t="s">
        <v>29</v>
      </c>
      <c r="H13" s="68"/>
      <c r="I13" s="67" t="s">
        <v>30</v>
      </c>
      <c r="J13" s="68"/>
      <c r="K13" s="67" t="s">
        <v>31</v>
      </c>
      <c r="L13" s="68"/>
    </row>
    <row r="15" spans="1:12" ht="18" customHeight="1" x14ac:dyDescent="0.25">
      <c r="A15" s="58" t="s">
        <v>32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7"/>
    </row>
    <row r="16" spans="1:12" x14ac:dyDescent="0.25">
      <c r="A16" s="56" t="s">
        <v>33</v>
      </c>
      <c r="B16" s="57"/>
      <c r="C16" s="56" t="s">
        <v>34</v>
      </c>
      <c r="D16" s="57"/>
      <c r="E16" s="56" t="s">
        <v>35</v>
      </c>
      <c r="F16" s="57"/>
      <c r="G16" s="56" t="s">
        <v>36</v>
      </c>
      <c r="H16" s="57"/>
      <c r="I16" s="56" t="s">
        <v>37</v>
      </c>
      <c r="J16" s="57"/>
      <c r="K16" s="56" t="s">
        <v>38</v>
      </c>
      <c r="L16" s="57"/>
    </row>
    <row r="17" spans="1:12" ht="15.75" x14ac:dyDescent="0.25">
      <c r="A17" s="60" t="s">
        <v>39</v>
      </c>
      <c r="B17" s="61"/>
      <c r="C17" s="60" t="s">
        <v>40</v>
      </c>
      <c r="D17" s="61"/>
      <c r="E17" s="60" t="s">
        <v>41</v>
      </c>
      <c r="F17" s="61"/>
      <c r="G17" s="60" t="s">
        <v>42</v>
      </c>
      <c r="H17" s="61"/>
      <c r="I17" s="60" t="s">
        <v>43</v>
      </c>
      <c r="J17" s="61"/>
      <c r="K17" s="60" t="s">
        <v>44</v>
      </c>
      <c r="L17" s="61"/>
    </row>
    <row r="20" spans="1:12" ht="18" customHeight="1" x14ac:dyDescent="0.25">
      <c r="A20" s="69" t="s">
        <v>45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7"/>
    </row>
    <row r="21" spans="1:12" ht="15.75" customHeight="1" x14ac:dyDescent="0.25">
      <c r="A21" s="1" t="s">
        <v>46</v>
      </c>
      <c r="C21" s="2" t="s">
        <v>47</v>
      </c>
      <c r="E21" s="2" t="s">
        <v>48</v>
      </c>
      <c r="I21" s="2" t="s">
        <v>49</v>
      </c>
    </row>
    <row r="22" spans="1:12" ht="15.75" customHeight="1" x14ac:dyDescent="0.25">
      <c r="A22" s="3" t="s">
        <v>50</v>
      </c>
      <c r="C22" s="4" t="s">
        <v>51</v>
      </c>
      <c r="E22" s="4" t="s">
        <v>52</v>
      </c>
      <c r="I22" s="4" t="s">
        <v>53</v>
      </c>
    </row>
    <row r="23" spans="1:12" ht="15.75" customHeight="1" x14ac:dyDescent="0.25">
      <c r="A23" s="1" t="s">
        <v>54</v>
      </c>
      <c r="C23" s="2" t="s">
        <v>55</v>
      </c>
      <c r="E23" s="2" t="s">
        <v>56</v>
      </c>
      <c r="I23" s="2" t="s">
        <v>57</v>
      </c>
    </row>
    <row r="24" spans="1:12" ht="15.75" customHeight="1" x14ac:dyDescent="0.25">
      <c r="A24" s="3" t="s">
        <v>58</v>
      </c>
      <c r="C24" s="4" t="s">
        <v>59</v>
      </c>
      <c r="E24" s="4" t="s">
        <v>60</v>
      </c>
      <c r="I24" s="4" t="s">
        <v>61</v>
      </c>
    </row>
    <row r="25" spans="1:12" ht="15.75" customHeight="1" x14ac:dyDescent="0.25"/>
    <row r="26" spans="1:12" ht="18" customHeight="1" x14ac:dyDescent="0.25">
      <c r="A26" s="66" t="s">
        <v>62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7"/>
    </row>
    <row r="27" spans="1:12" ht="18" customHeight="1" x14ac:dyDescent="0.25">
      <c r="A27" s="70" t="s">
        <v>63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7"/>
    </row>
    <row r="28" spans="1:12" ht="18" customHeight="1" x14ac:dyDescent="0.25">
      <c r="A28" s="71" t="s">
        <v>64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7"/>
    </row>
    <row r="29" spans="1:12" ht="18" customHeight="1" x14ac:dyDescent="0.25">
      <c r="A29" s="70" t="s">
        <v>65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7"/>
    </row>
    <row r="30" spans="1:12" ht="18" customHeight="1" x14ac:dyDescent="0.25">
      <c r="A30" s="71" t="s">
        <v>66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7"/>
    </row>
    <row r="31" spans="1:12" ht="18" customHeight="1" x14ac:dyDescent="0.25">
      <c r="A31" s="70" t="s">
        <v>67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7"/>
    </row>
    <row r="32" spans="1:1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9">
    <mergeCell ref="A28:L28"/>
    <mergeCell ref="A29:L29"/>
    <mergeCell ref="A30:L30"/>
    <mergeCell ref="A31:L31"/>
    <mergeCell ref="K11:L11"/>
    <mergeCell ref="A12:B12"/>
    <mergeCell ref="A20:L20"/>
    <mergeCell ref="A26:L26"/>
    <mergeCell ref="A27:L27"/>
    <mergeCell ref="K10:L10"/>
    <mergeCell ref="C12:D12"/>
    <mergeCell ref="E12:F12"/>
    <mergeCell ref="A13:B13"/>
    <mergeCell ref="C13:D13"/>
    <mergeCell ref="E13:F13"/>
    <mergeCell ref="G12:H12"/>
    <mergeCell ref="I12:J12"/>
    <mergeCell ref="G13:H13"/>
    <mergeCell ref="I13:J13"/>
    <mergeCell ref="K13:L13"/>
    <mergeCell ref="A11:B11"/>
    <mergeCell ref="C11:D11"/>
    <mergeCell ref="E11:F11"/>
    <mergeCell ref="G11:H11"/>
    <mergeCell ref="I11:J11"/>
    <mergeCell ref="A10:B10"/>
    <mergeCell ref="C10:D10"/>
    <mergeCell ref="E10:F10"/>
    <mergeCell ref="G10:H10"/>
    <mergeCell ref="I10:J10"/>
    <mergeCell ref="K17:L17"/>
    <mergeCell ref="A1:L1"/>
    <mergeCell ref="A2:L2"/>
    <mergeCell ref="C5:D5"/>
    <mergeCell ref="E5:F5"/>
    <mergeCell ref="G5:H5"/>
    <mergeCell ref="I5:J5"/>
    <mergeCell ref="K5:L5"/>
    <mergeCell ref="A5:B5"/>
    <mergeCell ref="C6:D6"/>
    <mergeCell ref="E6:F6"/>
    <mergeCell ref="G6:H6"/>
    <mergeCell ref="I6:J6"/>
    <mergeCell ref="K6:L6"/>
    <mergeCell ref="A9:L9"/>
    <mergeCell ref="A6:B6"/>
    <mergeCell ref="A17:B17"/>
    <mergeCell ref="C17:D17"/>
    <mergeCell ref="E17:F17"/>
    <mergeCell ref="G17:H17"/>
    <mergeCell ref="I17:J17"/>
    <mergeCell ref="K12:L12"/>
    <mergeCell ref="A15:L15"/>
    <mergeCell ref="C16:D16"/>
    <mergeCell ref="E16:F16"/>
    <mergeCell ref="G16:H16"/>
    <mergeCell ref="I16:J16"/>
    <mergeCell ref="K16:L16"/>
    <mergeCell ref="A16:B16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85A30"/>
  </sheetPr>
  <dimension ref="A1:Z1000"/>
  <sheetViews>
    <sheetView showGridLines="0" tabSelected="1" topLeftCell="D1" workbookViewId="0">
      <selection activeCell="D5" sqref="D5:U5"/>
    </sheetView>
  </sheetViews>
  <sheetFormatPr defaultColWidth="14.42578125" defaultRowHeight="15" customHeight="1" x14ac:dyDescent="0.25"/>
  <cols>
    <col min="1" max="1" width="11" customWidth="1"/>
    <col min="2" max="2" width="14" customWidth="1"/>
    <col min="3" max="7" width="10" customWidth="1"/>
    <col min="8" max="8" width="15" customWidth="1"/>
    <col min="9" max="9" width="12" customWidth="1"/>
    <col min="10" max="10" width="10" customWidth="1"/>
    <col min="11" max="11" width="8" customWidth="1"/>
    <col min="12" max="12" width="10" customWidth="1"/>
    <col min="13" max="13" width="12" customWidth="1"/>
    <col min="14" max="15" width="10" customWidth="1"/>
    <col min="16" max="16" width="14" customWidth="1"/>
    <col min="17" max="21" width="10" customWidth="1"/>
    <col min="22" max="22" width="22" customWidth="1"/>
    <col min="23" max="26" width="8.7109375" customWidth="1"/>
  </cols>
  <sheetData>
    <row r="1" spans="1:26" ht="36" customHeight="1" x14ac:dyDescent="0.25">
      <c r="A1" s="62" t="s">
        <v>68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7"/>
    </row>
    <row r="2" spans="1:26" ht="19.5" customHeight="1" x14ac:dyDescent="0.25">
      <c r="A2" s="63" t="s">
        <v>69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7"/>
    </row>
    <row r="4" spans="1:26" ht="9.75" customHeight="1" x14ac:dyDescent="0.25"/>
    <row r="5" spans="1:26" ht="39.75" customHeight="1" x14ac:dyDescent="0.25">
      <c r="A5" s="5" t="s">
        <v>70</v>
      </c>
      <c r="B5" s="5" t="s">
        <v>71</v>
      </c>
      <c r="C5" s="5" t="s">
        <v>72</v>
      </c>
      <c r="D5" s="5" t="s">
        <v>73</v>
      </c>
      <c r="E5" s="5" t="s">
        <v>74</v>
      </c>
      <c r="F5" s="5" t="s">
        <v>75</v>
      </c>
      <c r="G5" s="5" t="s">
        <v>6</v>
      </c>
      <c r="H5" s="5" t="s">
        <v>76</v>
      </c>
      <c r="I5" s="5" t="s">
        <v>77</v>
      </c>
      <c r="J5" s="5" t="s">
        <v>78</v>
      </c>
      <c r="K5" s="5" t="s">
        <v>12</v>
      </c>
      <c r="L5" s="5" t="s">
        <v>79</v>
      </c>
      <c r="M5" s="5" t="s">
        <v>80</v>
      </c>
      <c r="N5" s="5" t="s">
        <v>81</v>
      </c>
      <c r="O5" s="5" t="s">
        <v>82</v>
      </c>
      <c r="P5" s="5" t="s">
        <v>83</v>
      </c>
      <c r="Q5" s="5" t="s">
        <v>84</v>
      </c>
      <c r="R5" s="5" t="s">
        <v>85</v>
      </c>
      <c r="S5" s="5" t="s">
        <v>86</v>
      </c>
      <c r="T5" s="5" t="s">
        <v>87</v>
      </c>
      <c r="U5" s="5" t="s">
        <v>88</v>
      </c>
      <c r="V5" s="5" t="s">
        <v>89</v>
      </c>
      <c r="W5" s="6"/>
      <c r="X5" s="6"/>
      <c r="Y5" s="6"/>
      <c r="Z5" s="6"/>
    </row>
    <row r="6" spans="1:26" ht="19.5" customHeight="1" x14ac:dyDescent="0.25">
      <c r="A6" s="7" t="s">
        <v>90</v>
      </c>
      <c r="B6" s="7" t="s">
        <v>91</v>
      </c>
      <c r="C6" s="7">
        <v>77.8</v>
      </c>
      <c r="D6" s="7">
        <v>23.7</v>
      </c>
      <c r="E6" s="7">
        <v>18.399999999999999</v>
      </c>
      <c r="F6" s="7">
        <v>59.4</v>
      </c>
      <c r="G6" s="7">
        <v>8.8000000000000007</v>
      </c>
      <c r="H6" s="7">
        <v>55.6</v>
      </c>
      <c r="I6" s="7">
        <v>15.9</v>
      </c>
      <c r="J6" s="7">
        <v>52.1</v>
      </c>
      <c r="K6" s="7">
        <v>24.6</v>
      </c>
      <c r="L6" s="7">
        <v>38</v>
      </c>
      <c r="M6" s="7">
        <v>112</v>
      </c>
      <c r="N6" s="7">
        <v>101</v>
      </c>
      <c r="O6" s="7">
        <v>96</v>
      </c>
      <c r="P6" s="7">
        <v>92</v>
      </c>
      <c r="Q6" s="7">
        <v>99.5</v>
      </c>
      <c r="R6" s="7">
        <v>61</v>
      </c>
      <c r="S6" s="7">
        <v>34</v>
      </c>
      <c r="T6" s="7">
        <v>26</v>
      </c>
      <c r="U6" s="7">
        <v>34.299999999999997</v>
      </c>
      <c r="V6" s="7" t="s">
        <v>92</v>
      </c>
    </row>
    <row r="7" spans="1:26" ht="19.5" customHeight="1" x14ac:dyDescent="0.25">
      <c r="A7" s="8">
        <v>1</v>
      </c>
      <c r="B7" s="9">
        <v>46118</v>
      </c>
      <c r="C7" s="10">
        <v>77.900000000000006</v>
      </c>
      <c r="D7" s="10"/>
      <c r="E7" s="10"/>
      <c r="F7" s="10"/>
      <c r="G7" s="10"/>
      <c r="H7" s="10"/>
      <c r="I7" s="10"/>
      <c r="J7" s="10"/>
      <c r="K7" s="10"/>
      <c r="L7" s="10">
        <v>38.5</v>
      </c>
      <c r="M7" s="10">
        <v>120</v>
      </c>
      <c r="N7" s="10">
        <v>99</v>
      </c>
      <c r="O7" s="10">
        <v>95</v>
      </c>
      <c r="P7" s="10">
        <v>92</v>
      </c>
      <c r="Q7" s="10">
        <v>101</v>
      </c>
      <c r="R7" s="10">
        <v>61</v>
      </c>
      <c r="S7" s="10">
        <v>36.5</v>
      </c>
      <c r="T7" s="10">
        <v>27.5</v>
      </c>
      <c r="U7" s="10">
        <v>35.5</v>
      </c>
      <c r="V7" s="11" t="s">
        <v>93</v>
      </c>
    </row>
    <row r="8" spans="1:26" ht="19.5" customHeight="1" x14ac:dyDescent="0.25">
      <c r="A8" s="8">
        <v>2</v>
      </c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1"/>
    </row>
    <row r="9" spans="1:26" ht="19.5" customHeight="1" x14ac:dyDescent="0.25">
      <c r="A9" s="8">
        <v>3</v>
      </c>
      <c r="B9" s="12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6" ht="19.5" customHeight="1" x14ac:dyDescent="0.25">
      <c r="A10" s="8">
        <v>4</v>
      </c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1"/>
    </row>
    <row r="11" spans="1:26" ht="19.5" customHeight="1" x14ac:dyDescent="0.25">
      <c r="A11" s="8">
        <v>5</v>
      </c>
      <c r="B11" s="12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6" ht="19.5" customHeight="1" x14ac:dyDescent="0.25">
      <c r="A12" s="8">
        <v>6</v>
      </c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1"/>
    </row>
    <row r="13" spans="1:26" ht="19.5" customHeight="1" x14ac:dyDescent="0.25">
      <c r="A13" s="8">
        <v>7</v>
      </c>
      <c r="B13" s="12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6" ht="19.5" customHeight="1" x14ac:dyDescent="0.25">
      <c r="A14" s="8">
        <v>8</v>
      </c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</row>
    <row r="15" spans="1:26" ht="19.5" customHeight="1" x14ac:dyDescent="0.25">
      <c r="A15" s="8">
        <v>9</v>
      </c>
      <c r="B15" s="12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6" ht="19.5" customHeight="1" x14ac:dyDescent="0.25">
      <c r="A16" s="8">
        <v>10</v>
      </c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1"/>
    </row>
    <row r="17" spans="1:22" ht="19.5" customHeight="1" x14ac:dyDescent="0.25">
      <c r="A17" s="8">
        <v>11</v>
      </c>
      <c r="B17" s="12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9.5" customHeight="1" x14ac:dyDescent="0.25">
      <c r="A18" s="8">
        <v>12</v>
      </c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1"/>
    </row>
    <row r="19" spans="1:22" ht="19.5" customHeight="1" x14ac:dyDescent="0.25">
      <c r="A19" s="8">
        <v>13</v>
      </c>
      <c r="B19" s="12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9.5" customHeight="1" x14ac:dyDescent="0.25">
      <c r="A20" s="8">
        <v>14</v>
      </c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1"/>
    </row>
    <row r="21" spans="1:22" ht="19.5" customHeight="1" x14ac:dyDescent="0.25">
      <c r="A21" s="8">
        <v>15</v>
      </c>
      <c r="B21" s="12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9.5" customHeight="1" x14ac:dyDescent="0.25">
      <c r="A22" s="8">
        <v>16</v>
      </c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1"/>
    </row>
    <row r="23" spans="1:22" ht="21.75" customHeight="1" x14ac:dyDescent="0.25">
      <c r="A23" s="72" t="s">
        <v>94</v>
      </c>
      <c r="B23" s="65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spans="1:22" ht="19.5" customHeight="1" x14ac:dyDescent="0.25">
      <c r="C24" s="15" t="str">
        <f t="shared" ref="C24:U24" si="0">IF(ISNUMBER(C22),C22-C6,"—")</f>
        <v>—</v>
      </c>
      <c r="D24" s="15" t="str">
        <f t="shared" si="0"/>
        <v>—</v>
      </c>
      <c r="E24" s="15" t="str">
        <f t="shared" si="0"/>
        <v>—</v>
      </c>
      <c r="F24" s="15" t="str">
        <f t="shared" si="0"/>
        <v>—</v>
      </c>
      <c r="G24" s="15" t="str">
        <f t="shared" si="0"/>
        <v>—</v>
      </c>
      <c r="H24" s="15" t="str">
        <f t="shared" si="0"/>
        <v>—</v>
      </c>
      <c r="I24" s="15" t="str">
        <f t="shared" si="0"/>
        <v>—</v>
      </c>
      <c r="J24" s="15" t="str">
        <f t="shared" si="0"/>
        <v>—</v>
      </c>
      <c r="K24" s="15" t="str">
        <f t="shared" si="0"/>
        <v>—</v>
      </c>
      <c r="L24" s="15" t="str">
        <f t="shared" si="0"/>
        <v>—</v>
      </c>
      <c r="M24" s="15" t="str">
        <f t="shared" si="0"/>
        <v>—</v>
      </c>
      <c r="N24" s="15" t="str">
        <f t="shared" si="0"/>
        <v>—</v>
      </c>
      <c r="O24" s="15" t="str">
        <f t="shared" si="0"/>
        <v>—</v>
      </c>
      <c r="P24" s="15" t="str">
        <f t="shared" si="0"/>
        <v>—</v>
      </c>
      <c r="Q24" s="15" t="str">
        <f t="shared" si="0"/>
        <v>—</v>
      </c>
      <c r="R24" s="15" t="str">
        <f t="shared" si="0"/>
        <v>—</v>
      </c>
      <c r="S24" s="15" t="str">
        <f t="shared" si="0"/>
        <v>—</v>
      </c>
      <c r="T24" s="15" t="str">
        <f t="shared" si="0"/>
        <v>—</v>
      </c>
      <c r="U24" s="15" t="str">
        <f t="shared" si="0"/>
        <v>—</v>
      </c>
    </row>
    <row r="25" spans="1:22" ht="15.75" customHeight="1" x14ac:dyDescent="0.25"/>
    <row r="26" spans="1:22" ht="15.75" customHeight="1" x14ac:dyDescent="0.25"/>
    <row r="27" spans="1:22" ht="15.75" customHeight="1" x14ac:dyDescent="0.25"/>
    <row r="28" spans="1:22" ht="15.75" customHeight="1" x14ac:dyDescent="0.25"/>
    <row r="29" spans="1:22" ht="15.75" customHeight="1" x14ac:dyDescent="0.25"/>
    <row r="30" spans="1:22" ht="15.75" customHeight="1" x14ac:dyDescent="0.25"/>
    <row r="31" spans="1:22" ht="15.75" customHeight="1" x14ac:dyDescent="0.25"/>
    <row r="32" spans="1:2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P1"/>
    <mergeCell ref="A2:P2"/>
    <mergeCell ref="A23:B23"/>
  </mergeCells>
  <conditionalFormatting sqref="C7:C22">
    <cfRule type="colorScale" priority="1">
      <colorScale>
        <cfvo type="formula" val="68"/>
        <cfvo type="formula" val="73"/>
        <cfvo type="formula" val="78"/>
        <color rgb="FF1D9E75"/>
        <color rgb="FFEF9F27"/>
        <color rgb="FFE24B4A"/>
      </colorScale>
    </cfRule>
  </conditionalFormatting>
  <conditionalFormatting sqref="D7:D22">
    <cfRule type="colorScale" priority="2">
      <colorScale>
        <cfvo type="formula" val="13"/>
        <cfvo type="formula" val="18"/>
        <cfvo type="formula" val="24"/>
        <color rgb="FF1D9E75"/>
        <color rgb="FFEF9F27"/>
        <color rgb="FFE24B4A"/>
      </colorScale>
    </cfRule>
  </conditionalFormatting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85A30"/>
  </sheetPr>
  <dimension ref="A1:T192"/>
  <sheetViews>
    <sheetView showGridLines="0" topLeftCell="A152" workbookViewId="0">
      <selection activeCell="C169" sqref="C169"/>
    </sheetView>
  </sheetViews>
  <sheetFormatPr defaultColWidth="14.42578125" defaultRowHeight="15" customHeight="1" x14ac:dyDescent="0.25"/>
  <cols>
    <col min="1" max="1" width="32.42578125" customWidth="1"/>
    <col min="2" max="2" width="26" customWidth="1"/>
    <col min="3" max="3" width="13.7109375" customWidth="1"/>
    <col min="4" max="4" width="10.28515625" customWidth="1"/>
    <col min="5" max="5" width="15.140625" customWidth="1"/>
    <col min="6" max="6" width="10" customWidth="1"/>
    <col min="7" max="7" width="14.140625" customWidth="1"/>
    <col min="8" max="8" width="9" customWidth="1"/>
    <col min="9" max="9" width="18.140625" customWidth="1"/>
    <col min="10" max="10" width="8.7109375" customWidth="1"/>
    <col min="11" max="11" width="19.140625" customWidth="1"/>
    <col min="12" max="12" width="10" customWidth="1"/>
    <col min="13" max="13" width="15.28515625" customWidth="1"/>
    <col min="14" max="14" width="9" customWidth="1"/>
    <col min="15" max="15" width="19.7109375" customWidth="1"/>
    <col min="16" max="16" width="7" customWidth="1"/>
    <col min="17" max="17" width="9" customWidth="1"/>
    <col min="18" max="18" width="11" customWidth="1"/>
    <col min="19" max="20" width="9" customWidth="1"/>
    <col min="21" max="26" width="8.7109375" customWidth="1"/>
  </cols>
  <sheetData>
    <row r="1" spans="1:20" ht="36" customHeight="1" x14ac:dyDescent="0.25">
      <c r="A1" s="75" t="s">
        <v>95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7"/>
    </row>
    <row r="2" spans="1:20" ht="19.5" customHeight="1" x14ac:dyDescent="0.25">
      <c r="A2" s="76" t="s">
        <v>96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7"/>
    </row>
    <row r="3" spans="1:20" ht="21.75" customHeight="1" x14ac:dyDescent="0.25">
      <c r="A3" s="17" t="s">
        <v>97</v>
      </c>
      <c r="B3" s="18"/>
      <c r="C3" s="19" t="s">
        <v>98</v>
      </c>
      <c r="D3" s="20"/>
      <c r="E3" s="19" t="s">
        <v>99</v>
      </c>
      <c r="F3" s="20"/>
      <c r="G3" s="19" t="s">
        <v>100</v>
      </c>
      <c r="H3" s="20" t="s">
        <v>101</v>
      </c>
      <c r="I3" s="19" t="s">
        <v>102</v>
      </c>
      <c r="J3" s="20">
        <v>1</v>
      </c>
      <c r="K3" s="19" t="s">
        <v>103</v>
      </c>
      <c r="L3" s="20"/>
      <c r="M3" s="19" t="s">
        <v>104</v>
      </c>
      <c r="N3" s="20"/>
      <c r="O3" s="19" t="s">
        <v>105</v>
      </c>
      <c r="P3" s="20"/>
    </row>
    <row r="4" spans="1:20" ht="36" customHeight="1" x14ac:dyDescent="0.25">
      <c r="A4" s="21" t="s">
        <v>106</v>
      </c>
      <c r="B4" s="22" t="s">
        <v>107</v>
      </c>
      <c r="C4" s="23" t="s">
        <v>108</v>
      </c>
      <c r="D4" s="23" t="s">
        <v>109</v>
      </c>
      <c r="E4" s="23" t="s">
        <v>110</v>
      </c>
      <c r="F4" s="23" t="s">
        <v>111</v>
      </c>
      <c r="G4" s="23" t="s">
        <v>112</v>
      </c>
      <c r="H4" s="23" t="s">
        <v>113</v>
      </c>
      <c r="I4" s="23" t="s">
        <v>114</v>
      </c>
      <c r="J4" s="23" t="s">
        <v>115</v>
      </c>
      <c r="K4" s="23" t="s">
        <v>116</v>
      </c>
      <c r="L4" s="23" t="s">
        <v>117</v>
      </c>
      <c r="M4" s="23" t="s">
        <v>118</v>
      </c>
      <c r="N4" s="23" t="s">
        <v>119</v>
      </c>
      <c r="O4" s="23" t="s">
        <v>120</v>
      </c>
      <c r="P4" s="23" t="s">
        <v>121</v>
      </c>
      <c r="Q4" s="23" t="s">
        <v>122</v>
      </c>
      <c r="R4" s="23" t="s">
        <v>123</v>
      </c>
      <c r="S4" s="23" t="s">
        <v>124</v>
      </c>
      <c r="T4" s="23" t="s">
        <v>125</v>
      </c>
    </row>
    <row r="5" spans="1:20" ht="21.75" customHeight="1" x14ac:dyDescent="0.25">
      <c r="A5" s="24" t="s">
        <v>126</v>
      </c>
      <c r="B5" s="25" t="s">
        <v>127</v>
      </c>
      <c r="C5" s="13"/>
      <c r="D5" s="13"/>
      <c r="E5" s="26" t="str">
        <f t="shared" ref="E5:E20" si="0">IF(AND(ISNUMBER(C5),ISNUMBER(D5)),ROUND(C5*(1+D5/30),1),"—")</f>
        <v>—</v>
      </c>
      <c r="F5" s="13"/>
      <c r="G5" s="13"/>
      <c r="H5" s="26" t="str">
        <f t="shared" ref="H5:H20" si="1">IF(AND(ISNUMBER(F5),ISNUMBER(G5)),ROUND(F5*(1+G5/30),1),"—")</f>
        <v>—</v>
      </c>
      <c r="I5" s="13"/>
      <c r="J5" s="13"/>
      <c r="K5" s="26" t="str">
        <f t="shared" ref="K5:K20" si="2">IF(AND(ISNUMBER(I5),ISNUMBER(J5)),ROUND(I5*(1+J5/30),1),"—")</f>
        <v>—</v>
      </c>
      <c r="L5" s="13"/>
      <c r="M5" s="13"/>
      <c r="N5" s="26" t="str">
        <f t="shared" ref="N5:N20" si="3">IF(AND(ISNUMBER(L5),ISNUMBER(M5)),ROUND(L5*(1+M5/30),1),"—")</f>
        <v>—</v>
      </c>
      <c r="O5" s="13"/>
      <c r="P5" s="13"/>
      <c r="Q5" s="26" t="str">
        <f t="shared" ref="Q5:Q20" si="4">IF(AND(ISNUMBER(O5),ISNUMBER(P5)),ROUND(O5*(1+P5/30),1),"—")</f>
        <v>—</v>
      </c>
      <c r="R5" s="27">
        <f t="shared" ref="R5:R20" si="5">IFERROR(MAX(IFERROR(VALUE(E5),0),IFERROR(VALUE(H5),0),IFERROR(VALUE(K5),0),IFERROR(VALUE(N5),0),IFERROR(VALUE(Q5),0)),"—")</f>
        <v>0</v>
      </c>
      <c r="S5" s="28"/>
      <c r="T5" s="28"/>
    </row>
    <row r="6" spans="1:20" ht="21.75" customHeight="1" x14ac:dyDescent="0.25">
      <c r="A6" s="29" t="s">
        <v>128</v>
      </c>
      <c r="B6" s="30" t="s">
        <v>129</v>
      </c>
      <c r="C6" s="13"/>
      <c r="D6" s="13"/>
      <c r="E6" s="26" t="str">
        <f t="shared" si="0"/>
        <v>—</v>
      </c>
      <c r="F6" s="13"/>
      <c r="G6" s="13"/>
      <c r="H6" s="26" t="str">
        <f t="shared" si="1"/>
        <v>—</v>
      </c>
      <c r="I6" s="13"/>
      <c r="J6" s="13"/>
      <c r="K6" s="26" t="str">
        <f t="shared" si="2"/>
        <v>—</v>
      </c>
      <c r="L6" s="13"/>
      <c r="M6" s="13"/>
      <c r="N6" s="26" t="str">
        <f t="shared" si="3"/>
        <v>—</v>
      </c>
      <c r="O6" s="13"/>
      <c r="P6" s="13"/>
      <c r="Q6" s="26" t="str">
        <f t="shared" si="4"/>
        <v>—</v>
      </c>
      <c r="R6" s="27">
        <f t="shared" si="5"/>
        <v>0</v>
      </c>
      <c r="S6" s="28"/>
      <c r="T6" s="28"/>
    </row>
    <row r="7" spans="1:20" ht="21.75" customHeight="1" x14ac:dyDescent="0.25">
      <c r="A7" s="24" t="s">
        <v>130</v>
      </c>
      <c r="B7" s="25" t="s">
        <v>131</v>
      </c>
      <c r="C7" s="13"/>
      <c r="D7" s="13"/>
      <c r="E7" s="26" t="str">
        <f t="shared" si="0"/>
        <v>—</v>
      </c>
      <c r="F7" s="13"/>
      <c r="G7" s="13"/>
      <c r="H7" s="26" t="str">
        <f t="shared" si="1"/>
        <v>—</v>
      </c>
      <c r="I7" s="13"/>
      <c r="J7" s="13"/>
      <c r="K7" s="26" t="str">
        <f t="shared" si="2"/>
        <v>—</v>
      </c>
      <c r="L7" s="13"/>
      <c r="M7" s="13"/>
      <c r="N7" s="26" t="str">
        <f t="shared" si="3"/>
        <v>—</v>
      </c>
      <c r="O7" s="13"/>
      <c r="P7" s="13"/>
      <c r="Q7" s="26" t="str">
        <f t="shared" si="4"/>
        <v>—</v>
      </c>
      <c r="R7" s="27">
        <f t="shared" si="5"/>
        <v>0</v>
      </c>
      <c r="S7" s="28"/>
      <c r="T7" s="28"/>
    </row>
    <row r="8" spans="1:20" ht="21.75" customHeight="1" x14ac:dyDescent="0.25">
      <c r="A8" s="29" t="s">
        <v>132</v>
      </c>
      <c r="B8" s="30" t="s">
        <v>133</v>
      </c>
      <c r="C8" s="13">
        <v>2.5</v>
      </c>
      <c r="D8" s="13">
        <v>16</v>
      </c>
      <c r="E8" s="26">
        <f t="shared" si="0"/>
        <v>3.8</v>
      </c>
      <c r="F8" s="13"/>
      <c r="G8" s="13"/>
      <c r="H8" s="26" t="str">
        <f t="shared" si="1"/>
        <v>—</v>
      </c>
      <c r="I8" s="13"/>
      <c r="J8" s="13"/>
      <c r="K8" s="26" t="str">
        <f t="shared" si="2"/>
        <v>—</v>
      </c>
      <c r="L8" s="13"/>
      <c r="M8" s="13"/>
      <c r="N8" s="26" t="str">
        <f t="shared" si="3"/>
        <v>—</v>
      </c>
      <c r="O8" s="13"/>
      <c r="P8" s="13"/>
      <c r="Q8" s="26" t="str">
        <f t="shared" si="4"/>
        <v>—</v>
      </c>
      <c r="R8" s="27">
        <f t="shared" si="5"/>
        <v>3.8</v>
      </c>
      <c r="S8" s="28"/>
      <c r="T8" s="28"/>
    </row>
    <row r="9" spans="1:20" ht="21.75" customHeight="1" x14ac:dyDescent="0.25">
      <c r="A9" s="24" t="s">
        <v>134</v>
      </c>
      <c r="B9" s="25" t="s">
        <v>135</v>
      </c>
      <c r="C9" s="13">
        <v>7.5</v>
      </c>
      <c r="D9" s="13">
        <v>15</v>
      </c>
      <c r="E9" s="26">
        <f t="shared" si="0"/>
        <v>11.3</v>
      </c>
      <c r="F9" s="13">
        <v>7.5</v>
      </c>
      <c r="G9" s="13">
        <v>16</v>
      </c>
      <c r="H9" s="26">
        <f t="shared" si="1"/>
        <v>11.5</v>
      </c>
      <c r="I9" s="13">
        <v>7.5</v>
      </c>
      <c r="J9" s="13">
        <v>20</v>
      </c>
      <c r="K9" s="26">
        <f t="shared" si="2"/>
        <v>12.5</v>
      </c>
      <c r="L9" s="13"/>
      <c r="M9" s="13"/>
      <c r="N9" s="26" t="str">
        <f t="shared" si="3"/>
        <v>—</v>
      </c>
      <c r="O9" s="13"/>
      <c r="P9" s="13"/>
      <c r="Q9" s="26" t="str">
        <f t="shared" si="4"/>
        <v>—</v>
      </c>
      <c r="R9" s="27">
        <f t="shared" si="5"/>
        <v>12.5</v>
      </c>
      <c r="S9" s="28" t="s">
        <v>136</v>
      </c>
      <c r="T9" s="28" t="s">
        <v>137</v>
      </c>
    </row>
    <row r="10" spans="1:20" ht="21.75" customHeight="1" x14ac:dyDescent="0.25">
      <c r="A10" s="29" t="s">
        <v>138</v>
      </c>
      <c r="B10" s="30" t="s">
        <v>139</v>
      </c>
      <c r="C10" s="13">
        <v>7.5</v>
      </c>
      <c r="D10" s="13">
        <v>20</v>
      </c>
      <c r="E10" s="26">
        <f t="shared" si="0"/>
        <v>12.5</v>
      </c>
      <c r="F10" s="13">
        <v>7.5</v>
      </c>
      <c r="G10" s="13">
        <v>20</v>
      </c>
      <c r="H10" s="26">
        <f t="shared" si="1"/>
        <v>12.5</v>
      </c>
      <c r="I10" s="13">
        <v>7.5</v>
      </c>
      <c r="J10" s="13">
        <v>15</v>
      </c>
      <c r="K10" s="26">
        <f t="shared" si="2"/>
        <v>11.3</v>
      </c>
      <c r="L10" s="13"/>
      <c r="M10" s="13"/>
      <c r="N10" s="26" t="str">
        <f t="shared" si="3"/>
        <v>—</v>
      </c>
      <c r="O10" s="13"/>
      <c r="P10" s="13"/>
      <c r="Q10" s="26" t="str">
        <f t="shared" si="4"/>
        <v>—</v>
      </c>
      <c r="R10" s="27">
        <f t="shared" si="5"/>
        <v>12.5</v>
      </c>
      <c r="S10" s="28" t="s">
        <v>136</v>
      </c>
      <c r="T10" s="28" t="s">
        <v>140</v>
      </c>
    </row>
    <row r="11" spans="1:20" ht="21.75" customHeight="1" x14ac:dyDescent="0.25">
      <c r="A11" s="24" t="s">
        <v>141</v>
      </c>
      <c r="B11" s="25" t="s">
        <v>142</v>
      </c>
      <c r="C11" s="13">
        <v>5</v>
      </c>
      <c r="D11" s="13">
        <v>15</v>
      </c>
      <c r="E11" s="26">
        <f t="shared" si="0"/>
        <v>7.5</v>
      </c>
      <c r="F11" s="13">
        <v>7.5</v>
      </c>
      <c r="G11" s="13">
        <v>10</v>
      </c>
      <c r="H11" s="26">
        <f t="shared" si="1"/>
        <v>10</v>
      </c>
      <c r="I11" s="13">
        <v>7.5</v>
      </c>
      <c r="J11" s="13">
        <v>10</v>
      </c>
      <c r="K11" s="26">
        <f t="shared" si="2"/>
        <v>10</v>
      </c>
      <c r="L11" s="13"/>
      <c r="M11" s="13"/>
      <c r="N11" s="26" t="str">
        <f t="shared" si="3"/>
        <v>—</v>
      </c>
      <c r="O11" s="13"/>
      <c r="P11" s="13"/>
      <c r="Q11" s="26" t="str">
        <f t="shared" si="4"/>
        <v>—</v>
      </c>
      <c r="R11" s="27">
        <f t="shared" si="5"/>
        <v>10</v>
      </c>
      <c r="S11" s="28" t="s">
        <v>136</v>
      </c>
      <c r="T11" s="28" t="s">
        <v>137</v>
      </c>
    </row>
    <row r="12" spans="1:20" ht="21.75" customHeight="1" x14ac:dyDescent="0.25">
      <c r="A12" s="29" t="s">
        <v>143</v>
      </c>
      <c r="B12" s="30" t="s">
        <v>144</v>
      </c>
      <c r="C12" s="13">
        <v>7.5</v>
      </c>
      <c r="D12" s="13">
        <v>10</v>
      </c>
      <c r="E12" s="26">
        <f t="shared" si="0"/>
        <v>10</v>
      </c>
      <c r="F12" s="13">
        <v>10</v>
      </c>
      <c r="G12" s="13">
        <v>10</v>
      </c>
      <c r="H12" s="26">
        <f t="shared" si="1"/>
        <v>13.3</v>
      </c>
      <c r="I12" s="13">
        <v>15</v>
      </c>
      <c r="J12" s="13">
        <v>7</v>
      </c>
      <c r="K12" s="26">
        <f t="shared" si="2"/>
        <v>18.5</v>
      </c>
      <c r="L12" s="13"/>
      <c r="M12" s="13"/>
      <c r="N12" s="26" t="str">
        <f t="shared" si="3"/>
        <v>—</v>
      </c>
      <c r="O12" s="13"/>
      <c r="P12" s="13"/>
      <c r="Q12" s="26" t="str">
        <f t="shared" si="4"/>
        <v>—</v>
      </c>
      <c r="R12" s="27">
        <f t="shared" si="5"/>
        <v>18.5</v>
      </c>
      <c r="S12" s="28" t="s">
        <v>136</v>
      </c>
      <c r="T12" s="28" t="s">
        <v>137</v>
      </c>
    </row>
    <row r="13" spans="1:20" ht="21.75" customHeight="1" x14ac:dyDescent="0.25">
      <c r="A13" s="24" t="s">
        <v>145</v>
      </c>
      <c r="B13" s="25" t="s">
        <v>146</v>
      </c>
      <c r="C13" s="13">
        <v>15</v>
      </c>
      <c r="D13" s="13">
        <v>10</v>
      </c>
      <c r="E13" s="26">
        <f t="shared" si="0"/>
        <v>20</v>
      </c>
      <c r="F13" s="13">
        <v>15</v>
      </c>
      <c r="G13" s="13">
        <v>13</v>
      </c>
      <c r="H13" s="26">
        <f t="shared" si="1"/>
        <v>21.5</v>
      </c>
      <c r="I13" s="13">
        <v>15</v>
      </c>
      <c r="J13" s="13">
        <v>17</v>
      </c>
      <c r="K13" s="26">
        <f t="shared" si="2"/>
        <v>23.5</v>
      </c>
      <c r="L13" s="13"/>
      <c r="M13" s="13"/>
      <c r="N13" s="26" t="str">
        <f t="shared" si="3"/>
        <v>—</v>
      </c>
      <c r="O13" s="13"/>
      <c r="P13" s="13"/>
      <c r="Q13" s="26" t="str">
        <f t="shared" si="4"/>
        <v>—</v>
      </c>
      <c r="R13" s="27">
        <f t="shared" si="5"/>
        <v>23.5</v>
      </c>
      <c r="S13" s="28" t="s">
        <v>136</v>
      </c>
      <c r="T13" s="28" t="s">
        <v>140</v>
      </c>
    </row>
    <row r="14" spans="1:20" ht="21.75" customHeight="1" x14ac:dyDescent="0.25">
      <c r="A14" s="29" t="s">
        <v>147</v>
      </c>
      <c r="B14" s="30" t="s">
        <v>148</v>
      </c>
      <c r="C14" s="13">
        <v>15</v>
      </c>
      <c r="D14" s="13">
        <v>12</v>
      </c>
      <c r="E14" s="26">
        <f t="shared" si="0"/>
        <v>21</v>
      </c>
      <c r="F14" s="13">
        <v>15</v>
      </c>
      <c r="G14" s="13">
        <v>9</v>
      </c>
      <c r="H14" s="26">
        <f t="shared" si="1"/>
        <v>19.5</v>
      </c>
      <c r="I14" s="13">
        <v>15</v>
      </c>
      <c r="J14" s="13">
        <v>6</v>
      </c>
      <c r="K14" s="26">
        <f t="shared" si="2"/>
        <v>18</v>
      </c>
      <c r="L14" s="13"/>
      <c r="M14" s="13"/>
      <c r="N14" s="26" t="str">
        <f t="shared" si="3"/>
        <v>—</v>
      </c>
      <c r="O14" s="13"/>
      <c r="P14" s="13"/>
      <c r="Q14" s="26" t="str">
        <f t="shared" si="4"/>
        <v>—</v>
      </c>
      <c r="R14" s="27">
        <f t="shared" si="5"/>
        <v>21</v>
      </c>
      <c r="S14" s="28" t="s">
        <v>136</v>
      </c>
      <c r="T14" s="28" t="s">
        <v>140</v>
      </c>
    </row>
    <row r="15" spans="1:20" ht="21.75" customHeight="1" x14ac:dyDescent="0.25">
      <c r="A15" s="24" t="s">
        <v>149</v>
      </c>
      <c r="B15" s="25" t="s">
        <v>150</v>
      </c>
      <c r="C15" s="13">
        <v>7.5</v>
      </c>
      <c r="D15" s="13">
        <v>14</v>
      </c>
      <c r="E15" s="26">
        <f t="shared" si="0"/>
        <v>11</v>
      </c>
      <c r="F15" s="13">
        <v>7.5</v>
      </c>
      <c r="G15" s="13">
        <v>11</v>
      </c>
      <c r="H15" s="26">
        <f t="shared" si="1"/>
        <v>10.3</v>
      </c>
      <c r="I15" s="13">
        <v>7.5</v>
      </c>
      <c r="J15" s="13">
        <v>11</v>
      </c>
      <c r="K15" s="26">
        <f t="shared" si="2"/>
        <v>10.3</v>
      </c>
      <c r="L15" s="13"/>
      <c r="M15" s="13"/>
      <c r="N15" s="26" t="str">
        <f t="shared" si="3"/>
        <v>—</v>
      </c>
      <c r="O15" s="13"/>
      <c r="P15" s="13"/>
      <c r="Q15" s="26" t="str">
        <f t="shared" si="4"/>
        <v>—</v>
      </c>
      <c r="R15" s="27">
        <f t="shared" si="5"/>
        <v>11</v>
      </c>
      <c r="S15" s="28" t="s">
        <v>151</v>
      </c>
      <c r="T15" s="28" t="s">
        <v>140</v>
      </c>
    </row>
    <row r="16" spans="1:20" ht="21.75" customHeight="1" x14ac:dyDescent="0.25">
      <c r="A16" s="29" t="s">
        <v>152</v>
      </c>
      <c r="B16" s="30" t="s">
        <v>153</v>
      </c>
      <c r="C16" s="13"/>
      <c r="D16" s="13"/>
      <c r="E16" s="26" t="str">
        <f t="shared" si="0"/>
        <v>—</v>
      </c>
      <c r="F16" s="13"/>
      <c r="G16" s="13"/>
      <c r="H16" s="26" t="str">
        <f t="shared" si="1"/>
        <v>—</v>
      </c>
      <c r="I16" s="13"/>
      <c r="J16" s="13"/>
      <c r="K16" s="26" t="str">
        <f t="shared" si="2"/>
        <v>—</v>
      </c>
      <c r="L16" s="13"/>
      <c r="M16" s="13"/>
      <c r="N16" s="26" t="str">
        <f t="shared" si="3"/>
        <v>—</v>
      </c>
      <c r="O16" s="13"/>
      <c r="P16" s="13"/>
      <c r="Q16" s="26" t="str">
        <f t="shared" si="4"/>
        <v>—</v>
      </c>
      <c r="R16" s="27">
        <f t="shared" si="5"/>
        <v>0</v>
      </c>
      <c r="S16" s="28"/>
      <c r="T16" s="28"/>
    </row>
    <row r="17" spans="1:20" ht="21.75" customHeight="1" x14ac:dyDescent="0.25">
      <c r="A17" s="24" t="s">
        <v>154</v>
      </c>
      <c r="B17" s="25"/>
      <c r="C17" s="13"/>
      <c r="D17" s="13"/>
      <c r="E17" s="26" t="str">
        <f t="shared" si="0"/>
        <v>—</v>
      </c>
      <c r="F17" s="13"/>
      <c r="G17" s="13"/>
      <c r="H17" s="26" t="str">
        <f t="shared" si="1"/>
        <v>—</v>
      </c>
      <c r="I17" s="13"/>
      <c r="J17" s="13"/>
      <c r="K17" s="26" t="str">
        <f t="shared" si="2"/>
        <v>—</v>
      </c>
      <c r="L17" s="13"/>
      <c r="M17" s="13"/>
      <c r="N17" s="26" t="str">
        <f t="shared" si="3"/>
        <v>—</v>
      </c>
      <c r="O17" s="13"/>
      <c r="P17" s="13"/>
      <c r="Q17" s="26" t="str">
        <f t="shared" si="4"/>
        <v>—</v>
      </c>
      <c r="R17" s="27">
        <f t="shared" si="5"/>
        <v>0</v>
      </c>
      <c r="S17" s="28"/>
      <c r="T17" s="28"/>
    </row>
    <row r="18" spans="1:20" ht="21.75" customHeight="1" x14ac:dyDescent="0.25">
      <c r="A18" s="29" t="s">
        <v>155</v>
      </c>
      <c r="B18" s="30"/>
      <c r="C18" s="13"/>
      <c r="D18" s="13"/>
      <c r="E18" s="26" t="str">
        <f t="shared" si="0"/>
        <v>—</v>
      </c>
      <c r="F18" s="13"/>
      <c r="G18" s="13"/>
      <c r="H18" s="26" t="str">
        <f t="shared" si="1"/>
        <v>—</v>
      </c>
      <c r="I18" s="13"/>
      <c r="J18" s="13"/>
      <c r="K18" s="26" t="str">
        <f t="shared" si="2"/>
        <v>—</v>
      </c>
      <c r="L18" s="13"/>
      <c r="M18" s="13"/>
      <c r="N18" s="26" t="str">
        <f t="shared" si="3"/>
        <v>—</v>
      </c>
      <c r="O18" s="13"/>
      <c r="P18" s="13"/>
      <c r="Q18" s="26" t="str">
        <f t="shared" si="4"/>
        <v>—</v>
      </c>
      <c r="R18" s="27">
        <f t="shared" si="5"/>
        <v>0</v>
      </c>
      <c r="S18" s="28"/>
      <c r="T18" s="28"/>
    </row>
    <row r="19" spans="1:20" ht="21.75" customHeight="1" x14ac:dyDescent="0.25">
      <c r="A19" s="24" t="s">
        <v>156</v>
      </c>
      <c r="B19" s="25"/>
      <c r="C19" s="13"/>
      <c r="D19" s="13"/>
      <c r="E19" s="26" t="str">
        <f t="shared" si="0"/>
        <v>—</v>
      </c>
      <c r="F19" s="13"/>
      <c r="G19" s="13"/>
      <c r="H19" s="26" t="str">
        <f t="shared" si="1"/>
        <v>—</v>
      </c>
      <c r="I19" s="13"/>
      <c r="J19" s="13"/>
      <c r="K19" s="26" t="str">
        <f t="shared" si="2"/>
        <v>—</v>
      </c>
      <c r="L19" s="13"/>
      <c r="M19" s="13"/>
      <c r="N19" s="26" t="str">
        <f t="shared" si="3"/>
        <v>—</v>
      </c>
      <c r="O19" s="13"/>
      <c r="P19" s="13"/>
      <c r="Q19" s="26" t="str">
        <f t="shared" si="4"/>
        <v>—</v>
      </c>
      <c r="R19" s="27">
        <f t="shared" si="5"/>
        <v>0</v>
      </c>
      <c r="S19" s="28"/>
      <c r="T19" s="28"/>
    </row>
    <row r="20" spans="1:20" ht="21.75" customHeight="1" x14ac:dyDescent="0.25">
      <c r="A20" s="29" t="s">
        <v>157</v>
      </c>
      <c r="B20" s="30"/>
      <c r="C20" s="13"/>
      <c r="D20" s="13"/>
      <c r="E20" s="26" t="str">
        <f t="shared" si="0"/>
        <v>—</v>
      </c>
      <c r="F20" s="13"/>
      <c r="G20" s="13"/>
      <c r="H20" s="26" t="str">
        <f t="shared" si="1"/>
        <v>—</v>
      </c>
      <c r="I20" s="13"/>
      <c r="J20" s="13"/>
      <c r="K20" s="26" t="str">
        <f t="shared" si="2"/>
        <v>—</v>
      </c>
      <c r="L20" s="13"/>
      <c r="M20" s="13"/>
      <c r="N20" s="26" t="str">
        <f t="shared" si="3"/>
        <v>—</v>
      </c>
      <c r="O20" s="13"/>
      <c r="P20" s="13"/>
      <c r="Q20" s="26" t="str">
        <f t="shared" si="4"/>
        <v>—</v>
      </c>
      <c r="R20" s="27">
        <f t="shared" si="5"/>
        <v>0</v>
      </c>
      <c r="S20" s="28" t="s">
        <v>136</v>
      </c>
      <c r="T20" s="28" t="s">
        <v>158</v>
      </c>
    </row>
    <row r="21" spans="1:20" ht="19.5" customHeight="1" x14ac:dyDescent="0.25">
      <c r="A21" s="73" t="s">
        <v>159</v>
      </c>
      <c r="B21" s="57"/>
    </row>
    <row r="22" spans="1:20" ht="18" customHeight="1" x14ac:dyDescent="0.25">
      <c r="A22" s="74" t="s">
        <v>160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7"/>
    </row>
    <row r="23" spans="1:20" ht="18" customHeight="1" x14ac:dyDescent="0.25">
      <c r="A23" s="75" t="s">
        <v>200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7"/>
    </row>
    <row r="24" spans="1:20" ht="15.75" customHeight="1" x14ac:dyDescent="0.25">
      <c r="A24" s="76" t="s">
        <v>96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7"/>
    </row>
    <row r="25" spans="1:20" ht="15.75" customHeight="1" x14ac:dyDescent="0.25">
      <c r="A25" s="31" t="s">
        <v>97</v>
      </c>
      <c r="B25" s="32"/>
      <c r="C25" s="33" t="s">
        <v>98</v>
      </c>
      <c r="D25" s="34"/>
      <c r="E25" s="33" t="s">
        <v>99</v>
      </c>
      <c r="F25" s="34"/>
      <c r="G25" s="33" t="s">
        <v>100</v>
      </c>
      <c r="H25" s="34" t="s">
        <v>201</v>
      </c>
      <c r="I25" s="33" t="s">
        <v>102</v>
      </c>
      <c r="J25" s="34"/>
      <c r="K25" s="33" t="s">
        <v>103</v>
      </c>
      <c r="L25" s="34"/>
      <c r="M25" s="33" t="s">
        <v>104</v>
      </c>
      <c r="N25" s="34"/>
      <c r="O25" s="33" t="s">
        <v>105</v>
      </c>
      <c r="P25" s="34"/>
    </row>
    <row r="26" spans="1:20" ht="15.75" customHeight="1" x14ac:dyDescent="0.25">
      <c r="A26" s="35" t="s">
        <v>202</v>
      </c>
      <c r="B26" s="35" t="s">
        <v>107</v>
      </c>
      <c r="C26" s="36" t="s">
        <v>108</v>
      </c>
      <c r="D26" s="36" t="s">
        <v>109</v>
      </c>
      <c r="E26" s="36" t="s">
        <v>110</v>
      </c>
      <c r="F26" s="36" t="s">
        <v>111</v>
      </c>
      <c r="G26" s="36" t="s">
        <v>112</v>
      </c>
      <c r="H26" s="36" t="s">
        <v>113</v>
      </c>
      <c r="I26" s="36" t="s">
        <v>114</v>
      </c>
      <c r="J26" s="36" t="s">
        <v>115</v>
      </c>
      <c r="K26" s="36" t="s">
        <v>116</v>
      </c>
      <c r="L26" s="36" t="s">
        <v>117</v>
      </c>
      <c r="M26" s="36" t="s">
        <v>118</v>
      </c>
      <c r="N26" s="36" t="s">
        <v>119</v>
      </c>
      <c r="O26" s="36" t="s">
        <v>120</v>
      </c>
      <c r="P26" s="36" t="s">
        <v>121</v>
      </c>
      <c r="Q26" s="36" t="s">
        <v>122</v>
      </c>
      <c r="R26" s="36" t="s">
        <v>123</v>
      </c>
      <c r="S26" s="36" t="s">
        <v>124</v>
      </c>
      <c r="T26" s="36" t="s">
        <v>125</v>
      </c>
    </row>
    <row r="27" spans="1:20" ht="15.75" customHeight="1" x14ac:dyDescent="0.25">
      <c r="A27" s="37" t="s">
        <v>203</v>
      </c>
      <c r="B27" s="38" t="s">
        <v>204</v>
      </c>
      <c r="C27" s="13"/>
      <c r="D27" s="13"/>
      <c r="E27" s="26" t="str">
        <f t="shared" ref="E27:E42" si="6">IF(AND(ISNUMBER(C27),ISNUMBER(D27)),ROUND(C27*(1+D27/30),1),"—")</f>
        <v>—</v>
      </c>
      <c r="F27" s="13"/>
      <c r="G27" s="13"/>
      <c r="H27" s="26" t="str">
        <f t="shared" ref="H27:H42" si="7">IF(AND(ISNUMBER(F27),ISNUMBER(G27)),ROUND(F27*(1+G27/30),1),"—")</f>
        <v>—</v>
      </c>
      <c r="I27" s="13"/>
      <c r="J27" s="13"/>
      <c r="K27" s="26" t="str">
        <f t="shared" ref="K27:K42" si="8">IF(AND(ISNUMBER(I27),ISNUMBER(J27)),ROUND(I27*(1+J27/30),1),"—")</f>
        <v>—</v>
      </c>
      <c r="L27" s="13"/>
      <c r="M27" s="13"/>
      <c r="N27" s="26" t="str">
        <f t="shared" ref="N27:N42" si="9">IF(AND(ISNUMBER(L27),ISNUMBER(M27)),ROUND(L27*(1+M27/30),1),"—")</f>
        <v>—</v>
      </c>
      <c r="O27" s="13"/>
      <c r="P27" s="13"/>
      <c r="Q27" s="26" t="str">
        <f t="shared" ref="Q27:Q42" si="10">IF(AND(ISNUMBER(O27),ISNUMBER(P27)),ROUND(O27*(1+P27/30),1),"—")</f>
        <v>—</v>
      </c>
      <c r="R27" s="39">
        <f t="shared" ref="R27:R42" si="11">IFERROR(MAX(IFERROR(VALUE(E27),0),IFERROR(VALUE(H27),0),IFERROR(VALUE(K27),0),IFERROR(VALUE(N27),0),IFERROR(VALUE(Q27),0)),"—")</f>
        <v>0</v>
      </c>
      <c r="S27" s="28"/>
      <c r="T27" s="28"/>
    </row>
    <row r="28" spans="1:20" ht="15.75" customHeight="1" x14ac:dyDescent="0.25">
      <c r="A28" s="40" t="s">
        <v>205</v>
      </c>
      <c r="B28" s="30" t="s">
        <v>129</v>
      </c>
      <c r="C28" s="13"/>
      <c r="D28" s="13"/>
      <c r="E28" s="26" t="str">
        <f t="shared" si="6"/>
        <v>—</v>
      </c>
      <c r="F28" s="13"/>
      <c r="G28" s="13"/>
      <c r="H28" s="26" t="str">
        <f t="shared" si="7"/>
        <v>—</v>
      </c>
      <c r="I28" s="13"/>
      <c r="J28" s="13"/>
      <c r="K28" s="26" t="str">
        <f t="shared" si="8"/>
        <v>—</v>
      </c>
      <c r="L28" s="13"/>
      <c r="M28" s="13"/>
      <c r="N28" s="26" t="str">
        <f t="shared" si="9"/>
        <v>—</v>
      </c>
      <c r="O28" s="13"/>
      <c r="P28" s="13"/>
      <c r="Q28" s="26" t="str">
        <f t="shared" si="10"/>
        <v>—</v>
      </c>
      <c r="R28" s="39">
        <f t="shared" si="11"/>
        <v>0</v>
      </c>
      <c r="S28" s="28"/>
      <c r="T28" s="28"/>
    </row>
    <row r="29" spans="1:20" ht="15.75" customHeight="1" x14ac:dyDescent="0.25">
      <c r="A29" s="37" t="s">
        <v>206</v>
      </c>
      <c r="B29" s="38" t="s">
        <v>207</v>
      </c>
      <c r="C29" s="13"/>
      <c r="D29" s="13"/>
      <c r="E29" s="26" t="str">
        <f t="shared" si="6"/>
        <v>—</v>
      </c>
      <c r="F29" s="13"/>
      <c r="G29" s="13"/>
      <c r="H29" s="26" t="str">
        <f t="shared" si="7"/>
        <v>—</v>
      </c>
      <c r="I29" s="13"/>
      <c r="J29" s="13"/>
      <c r="K29" s="26" t="str">
        <f t="shared" si="8"/>
        <v>—</v>
      </c>
      <c r="L29" s="13"/>
      <c r="M29" s="13"/>
      <c r="N29" s="26" t="str">
        <f t="shared" si="9"/>
        <v>—</v>
      </c>
      <c r="O29" s="13"/>
      <c r="P29" s="13"/>
      <c r="Q29" s="26" t="str">
        <f t="shared" si="10"/>
        <v>—</v>
      </c>
      <c r="R29" s="39">
        <f t="shared" si="11"/>
        <v>0</v>
      </c>
      <c r="S29" s="28"/>
      <c r="T29" s="28"/>
    </row>
    <row r="30" spans="1:20" ht="15.75" customHeight="1" x14ac:dyDescent="0.25">
      <c r="A30" s="40" t="s">
        <v>208</v>
      </c>
      <c r="B30" s="30" t="s">
        <v>209</v>
      </c>
      <c r="C30" s="13"/>
      <c r="D30" s="13"/>
      <c r="E30" s="26" t="str">
        <f t="shared" si="6"/>
        <v>—</v>
      </c>
      <c r="F30" s="13"/>
      <c r="G30" s="13"/>
      <c r="H30" s="26" t="str">
        <f t="shared" si="7"/>
        <v>—</v>
      </c>
      <c r="I30" s="13"/>
      <c r="J30" s="13"/>
      <c r="K30" s="26" t="str">
        <f t="shared" si="8"/>
        <v>—</v>
      </c>
      <c r="L30" s="13"/>
      <c r="M30" s="13"/>
      <c r="N30" s="26" t="str">
        <f t="shared" si="9"/>
        <v>—</v>
      </c>
      <c r="O30" s="13"/>
      <c r="P30" s="13"/>
      <c r="Q30" s="26" t="str">
        <f t="shared" si="10"/>
        <v>—</v>
      </c>
      <c r="R30" s="39">
        <f t="shared" si="11"/>
        <v>0</v>
      </c>
      <c r="S30" s="28"/>
      <c r="T30" s="28"/>
    </row>
    <row r="31" spans="1:20" ht="15.75" customHeight="1" x14ac:dyDescent="0.25">
      <c r="A31" s="37" t="s">
        <v>210</v>
      </c>
      <c r="B31" s="38" t="s">
        <v>211</v>
      </c>
      <c r="C31" s="13">
        <v>78</v>
      </c>
      <c r="D31" s="13">
        <v>2</v>
      </c>
      <c r="E31" s="26">
        <f t="shared" si="6"/>
        <v>83.2</v>
      </c>
      <c r="F31" s="13">
        <v>78</v>
      </c>
      <c r="G31" s="13">
        <v>2</v>
      </c>
      <c r="H31" s="26">
        <f t="shared" si="7"/>
        <v>83.2</v>
      </c>
      <c r="I31" s="13">
        <v>78</v>
      </c>
      <c r="J31" s="13">
        <v>2</v>
      </c>
      <c r="K31" s="26">
        <f t="shared" si="8"/>
        <v>83.2</v>
      </c>
      <c r="L31" s="13"/>
      <c r="M31" s="13"/>
      <c r="N31" s="26" t="str">
        <f t="shared" si="9"/>
        <v>—</v>
      </c>
      <c r="O31" s="13"/>
      <c r="P31" s="13"/>
      <c r="Q31" s="26" t="str">
        <f t="shared" si="10"/>
        <v>—</v>
      </c>
      <c r="R31" s="39">
        <f t="shared" si="11"/>
        <v>83.2</v>
      </c>
      <c r="S31" s="28" t="s">
        <v>136</v>
      </c>
      <c r="T31" s="28" t="s">
        <v>212</v>
      </c>
    </row>
    <row r="32" spans="1:20" ht="15.75" customHeight="1" x14ac:dyDescent="0.25">
      <c r="A32" s="40" t="s">
        <v>213</v>
      </c>
      <c r="B32" s="30" t="s">
        <v>214</v>
      </c>
      <c r="C32" s="13">
        <v>5</v>
      </c>
      <c r="D32" s="13">
        <v>30</v>
      </c>
      <c r="E32" s="26">
        <f t="shared" si="6"/>
        <v>10</v>
      </c>
      <c r="F32" s="13">
        <v>7.5</v>
      </c>
      <c r="G32" s="13">
        <v>20</v>
      </c>
      <c r="H32" s="26">
        <f t="shared" si="7"/>
        <v>12.5</v>
      </c>
      <c r="I32" s="13">
        <v>10</v>
      </c>
      <c r="J32" s="13">
        <v>10</v>
      </c>
      <c r="K32" s="26">
        <f t="shared" si="8"/>
        <v>13.3</v>
      </c>
      <c r="L32" s="13">
        <v>10</v>
      </c>
      <c r="M32" s="13">
        <v>14</v>
      </c>
      <c r="N32" s="26">
        <f t="shared" si="9"/>
        <v>14.7</v>
      </c>
      <c r="O32" s="13"/>
      <c r="P32" s="13"/>
      <c r="Q32" s="26" t="str">
        <f t="shared" si="10"/>
        <v>—</v>
      </c>
      <c r="R32" s="39">
        <f t="shared" si="11"/>
        <v>14.7</v>
      </c>
      <c r="S32" s="28" t="s">
        <v>136</v>
      </c>
      <c r="T32" s="28" t="s">
        <v>199</v>
      </c>
    </row>
    <row r="33" spans="1:20" ht="15.75" customHeight="1" x14ac:dyDescent="0.25">
      <c r="A33" s="37" t="s">
        <v>215</v>
      </c>
      <c r="B33" s="38" t="s">
        <v>216</v>
      </c>
      <c r="C33" s="13">
        <v>15</v>
      </c>
      <c r="D33" s="13">
        <v>20</v>
      </c>
      <c r="E33" s="26">
        <f t="shared" si="6"/>
        <v>25</v>
      </c>
      <c r="F33" s="13">
        <v>25</v>
      </c>
      <c r="G33" s="13">
        <v>11</v>
      </c>
      <c r="H33" s="26">
        <f t="shared" si="7"/>
        <v>34.200000000000003</v>
      </c>
      <c r="I33" s="13">
        <v>27.5</v>
      </c>
      <c r="J33" s="13">
        <v>13</v>
      </c>
      <c r="K33" s="26">
        <f t="shared" si="8"/>
        <v>39.4</v>
      </c>
      <c r="L33" s="13">
        <v>27.5</v>
      </c>
      <c r="M33" s="13">
        <v>10</v>
      </c>
      <c r="N33" s="26">
        <f t="shared" si="9"/>
        <v>36.700000000000003</v>
      </c>
      <c r="O33" s="13"/>
      <c r="P33" s="13"/>
      <c r="Q33" s="26" t="str">
        <f t="shared" si="10"/>
        <v>—</v>
      </c>
      <c r="R33" s="39">
        <f t="shared" si="11"/>
        <v>39.4</v>
      </c>
      <c r="S33" s="28" t="s">
        <v>136</v>
      </c>
      <c r="T33" s="28" t="s">
        <v>199</v>
      </c>
    </row>
    <row r="34" spans="1:20" ht="15.75" customHeight="1" x14ac:dyDescent="0.25">
      <c r="A34" s="40" t="s">
        <v>217</v>
      </c>
      <c r="B34" s="30" t="s">
        <v>218</v>
      </c>
      <c r="C34" s="13">
        <v>7.5</v>
      </c>
      <c r="D34" s="13">
        <v>12</v>
      </c>
      <c r="E34" s="26">
        <f t="shared" si="6"/>
        <v>10.5</v>
      </c>
      <c r="F34" s="13">
        <v>10</v>
      </c>
      <c r="G34" s="13">
        <v>8</v>
      </c>
      <c r="H34" s="26">
        <f t="shared" si="7"/>
        <v>12.7</v>
      </c>
      <c r="I34" s="13">
        <v>10</v>
      </c>
      <c r="J34" s="13">
        <v>6</v>
      </c>
      <c r="K34" s="26">
        <f t="shared" si="8"/>
        <v>12</v>
      </c>
      <c r="L34" s="13"/>
      <c r="M34" s="13"/>
      <c r="N34" s="26" t="str">
        <f t="shared" si="9"/>
        <v>—</v>
      </c>
      <c r="O34" s="13"/>
      <c r="P34" s="13"/>
      <c r="Q34" s="26" t="str">
        <f t="shared" si="10"/>
        <v>—</v>
      </c>
      <c r="R34" s="39">
        <f t="shared" si="11"/>
        <v>12.7</v>
      </c>
      <c r="S34" s="28" t="s">
        <v>136</v>
      </c>
      <c r="T34" s="28" t="s">
        <v>140</v>
      </c>
    </row>
    <row r="35" spans="1:20" ht="15.75" customHeight="1" x14ac:dyDescent="0.25">
      <c r="A35" s="37" t="s">
        <v>219</v>
      </c>
      <c r="B35" s="38" t="s">
        <v>220</v>
      </c>
      <c r="C35" s="13">
        <v>7.5</v>
      </c>
      <c r="D35" s="13">
        <v>10</v>
      </c>
      <c r="E35" s="26">
        <f t="shared" si="6"/>
        <v>10</v>
      </c>
      <c r="F35" s="13">
        <v>10</v>
      </c>
      <c r="G35" s="13">
        <v>8</v>
      </c>
      <c r="H35" s="26">
        <f t="shared" si="7"/>
        <v>12.7</v>
      </c>
      <c r="I35" s="13">
        <v>10</v>
      </c>
      <c r="J35" s="13">
        <v>8</v>
      </c>
      <c r="K35" s="26">
        <f t="shared" si="8"/>
        <v>12.7</v>
      </c>
      <c r="L35" s="13"/>
      <c r="M35" s="13"/>
      <c r="N35" s="26" t="str">
        <f t="shared" si="9"/>
        <v>—</v>
      </c>
      <c r="O35" s="13"/>
      <c r="P35" s="13"/>
      <c r="Q35" s="26" t="str">
        <f t="shared" si="10"/>
        <v>—</v>
      </c>
      <c r="R35" s="39">
        <f t="shared" si="11"/>
        <v>12.7</v>
      </c>
      <c r="S35" s="28" t="s">
        <v>136</v>
      </c>
      <c r="T35" s="28" t="s">
        <v>140</v>
      </c>
    </row>
    <row r="36" spans="1:20" ht="15.75" customHeight="1" x14ac:dyDescent="0.25">
      <c r="A36" s="40" t="s">
        <v>221</v>
      </c>
      <c r="B36" s="30" t="s">
        <v>222</v>
      </c>
      <c r="C36" s="13">
        <v>7.5</v>
      </c>
      <c r="D36" s="13">
        <v>11</v>
      </c>
      <c r="E36" s="26">
        <f t="shared" si="6"/>
        <v>10.3</v>
      </c>
      <c r="F36" s="13">
        <v>7.5</v>
      </c>
      <c r="G36" s="13">
        <v>11</v>
      </c>
      <c r="H36" s="26">
        <f t="shared" si="7"/>
        <v>10.3</v>
      </c>
      <c r="I36" s="13">
        <v>7.5</v>
      </c>
      <c r="J36" s="13">
        <v>6</v>
      </c>
      <c r="K36" s="26">
        <f t="shared" si="8"/>
        <v>9</v>
      </c>
      <c r="L36" s="13"/>
      <c r="M36" s="13"/>
      <c r="N36" s="26" t="str">
        <f t="shared" si="9"/>
        <v>—</v>
      </c>
      <c r="O36" s="13"/>
      <c r="P36" s="13"/>
      <c r="Q36" s="26" t="str">
        <f t="shared" si="10"/>
        <v>—</v>
      </c>
      <c r="R36" s="39">
        <f t="shared" si="11"/>
        <v>10.3</v>
      </c>
      <c r="S36" s="28" t="s">
        <v>136</v>
      </c>
      <c r="T36" s="28" t="s">
        <v>199</v>
      </c>
    </row>
    <row r="37" spans="1:20" ht="15.75" customHeight="1" x14ac:dyDescent="0.25">
      <c r="A37" s="37" t="s">
        <v>223</v>
      </c>
      <c r="B37" s="38" t="s">
        <v>224</v>
      </c>
      <c r="C37" s="13">
        <v>7.5</v>
      </c>
      <c r="D37" s="13">
        <v>10</v>
      </c>
      <c r="E37" s="26">
        <f t="shared" si="6"/>
        <v>10</v>
      </c>
      <c r="F37" s="13">
        <v>10</v>
      </c>
      <c r="G37" s="13">
        <v>4</v>
      </c>
      <c r="H37" s="26">
        <f t="shared" si="7"/>
        <v>11.3</v>
      </c>
      <c r="I37" s="13">
        <v>10</v>
      </c>
      <c r="J37" s="13">
        <v>3</v>
      </c>
      <c r="K37" s="26">
        <f t="shared" si="8"/>
        <v>11</v>
      </c>
      <c r="L37" s="13"/>
      <c r="M37" s="13"/>
      <c r="N37" s="26" t="str">
        <f t="shared" si="9"/>
        <v>—</v>
      </c>
      <c r="O37" s="13"/>
      <c r="P37" s="13"/>
      <c r="Q37" s="26" t="str">
        <f t="shared" si="10"/>
        <v>—</v>
      </c>
      <c r="R37" s="39">
        <f t="shared" si="11"/>
        <v>11.3</v>
      </c>
      <c r="S37" s="28"/>
      <c r="T37" s="28"/>
    </row>
    <row r="38" spans="1:20" ht="15.75" customHeight="1" x14ac:dyDescent="0.25">
      <c r="A38" s="40" t="s">
        <v>225</v>
      </c>
      <c r="B38" s="30" t="s">
        <v>226</v>
      </c>
      <c r="C38" s="13"/>
      <c r="D38" s="13"/>
      <c r="E38" s="26" t="str">
        <f t="shared" si="6"/>
        <v>—</v>
      </c>
      <c r="F38" s="13"/>
      <c r="G38" s="13"/>
      <c r="H38" s="26" t="str">
        <f t="shared" si="7"/>
        <v>—</v>
      </c>
      <c r="I38" s="13"/>
      <c r="J38" s="13"/>
      <c r="K38" s="26" t="str">
        <f t="shared" si="8"/>
        <v>—</v>
      </c>
      <c r="L38" s="13"/>
      <c r="M38" s="13"/>
      <c r="N38" s="26" t="str">
        <f t="shared" si="9"/>
        <v>—</v>
      </c>
      <c r="O38" s="13"/>
      <c r="P38" s="13"/>
      <c r="Q38" s="26" t="str">
        <f t="shared" si="10"/>
        <v>—</v>
      </c>
      <c r="R38" s="39">
        <f t="shared" si="11"/>
        <v>0</v>
      </c>
      <c r="S38" s="28"/>
      <c r="T38" s="28"/>
    </row>
    <row r="39" spans="1:20" ht="15.75" customHeight="1" x14ac:dyDescent="0.25">
      <c r="A39" s="37" t="s">
        <v>227</v>
      </c>
      <c r="B39" s="38" t="s">
        <v>228</v>
      </c>
      <c r="C39" s="13"/>
      <c r="D39" s="13"/>
      <c r="E39" s="26" t="str">
        <f t="shared" si="6"/>
        <v>—</v>
      </c>
      <c r="F39" s="13"/>
      <c r="G39" s="13"/>
      <c r="H39" s="26" t="str">
        <f t="shared" si="7"/>
        <v>—</v>
      </c>
      <c r="I39" s="13"/>
      <c r="J39" s="13"/>
      <c r="K39" s="26" t="str">
        <f t="shared" si="8"/>
        <v>—</v>
      </c>
      <c r="L39" s="13"/>
      <c r="M39" s="13"/>
      <c r="N39" s="26" t="str">
        <f t="shared" si="9"/>
        <v>—</v>
      </c>
      <c r="O39" s="13"/>
      <c r="P39" s="13"/>
      <c r="Q39" s="26" t="str">
        <f t="shared" si="10"/>
        <v>—</v>
      </c>
      <c r="R39" s="39">
        <f t="shared" si="11"/>
        <v>0</v>
      </c>
      <c r="S39" s="28"/>
      <c r="T39" s="28"/>
    </row>
    <row r="40" spans="1:20" ht="15.75" customHeight="1" x14ac:dyDescent="0.25">
      <c r="A40" s="40" t="s">
        <v>229</v>
      </c>
      <c r="B40" s="30" t="s">
        <v>230</v>
      </c>
      <c r="C40" s="13"/>
      <c r="D40" s="13"/>
      <c r="E40" s="26" t="str">
        <f t="shared" si="6"/>
        <v>—</v>
      </c>
      <c r="F40" s="13"/>
      <c r="G40" s="13"/>
      <c r="H40" s="26" t="str">
        <f t="shared" si="7"/>
        <v>—</v>
      </c>
      <c r="I40" s="13"/>
      <c r="J40" s="13"/>
      <c r="K40" s="26" t="str">
        <f t="shared" si="8"/>
        <v>—</v>
      </c>
      <c r="L40" s="13"/>
      <c r="M40" s="13"/>
      <c r="N40" s="26" t="str">
        <f t="shared" si="9"/>
        <v>—</v>
      </c>
      <c r="O40" s="13"/>
      <c r="P40" s="13"/>
      <c r="Q40" s="26" t="str">
        <f t="shared" si="10"/>
        <v>—</v>
      </c>
      <c r="R40" s="39">
        <f t="shared" si="11"/>
        <v>0</v>
      </c>
      <c r="S40" s="28"/>
      <c r="T40" s="28"/>
    </row>
    <row r="41" spans="1:20" ht="15.75" customHeight="1" x14ac:dyDescent="0.25">
      <c r="A41" s="37" t="s">
        <v>231</v>
      </c>
      <c r="B41" s="38" t="s">
        <v>230</v>
      </c>
      <c r="C41" s="13"/>
      <c r="D41" s="13"/>
      <c r="E41" s="26" t="str">
        <f t="shared" si="6"/>
        <v>—</v>
      </c>
      <c r="F41" s="13"/>
      <c r="G41" s="13"/>
      <c r="H41" s="26" t="str">
        <f t="shared" si="7"/>
        <v>—</v>
      </c>
      <c r="I41" s="13"/>
      <c r="J41" s="13"/>
      <c r="K41" s="26" t="str">
        <f t="shared" si="8"/>
        <v>—</v>
      </c>
      <c r="L41" s="13"/>
      <c r="M41" s="13"/>
      <c r="N41" s="26" t="str">
        <f t="shared" si="9"/>
        <v>—</v>
      </c>
      <c r="O41" s="13"/>
      <c r="P41" s="13"/>
      <c r="Q41" s="26" t="str">
        <f t="shared" si="10"/>
        <v>—</v>
      </c>
      <c r="R41" s="39">
        <f t="shared" si="11"/>
        <v>0</v>
      </c>
      <c r="S41" s="28"/>
      <c r="T41" s="28"/>
    </row>
    <row r="42" spans="1:20" ht="15.75" customHeight="1" x14ac:dyDescent="0.25">
      <c r="A42" s="40" t="s">
        <v>232</v>
      </c>
      <c r="B42" s="30" t="s">
        <v>191</v>
      </c>
      <c r="C42" s="13"/>
      <c r="D42" s="13"/>
      <c r="E42" s="26" t="str">
        <f t="shared" si="6"/>
        <v>—</v>
      </c>
      <c r="F42" s="13"/>
      <c r="G42" s="13"/>
      <c r="H42" s="26" t="str">
        <f t="shared" si="7"/>
        <v>—</v>
      </c>
      <c r="I42" s="13"/>
      <c r="J42" s="13"/>
      <c r="K42" s="26" t="str">
        <f t="shared" si="8"/>
        <v>—</v>
      </c>
      <c r="L42" s="13"/>
      <c r="M42" s="13"/>
      <c r="N42" s="26" t="str">
        <f t="shared" si="9"/>
        <v>—</v>
      </c>
      <c r="O42" s="13"/>
      <c r="P42" s="13"/>
      <c r="Q42" s="26" t="str">
        <f t="shared" si="10"/>
        <v>—</v>
      </c>
      <c r="R42" s="39">
        <f t="shared" si="11"/>
        <v>0</v>
      </c>
      <c r="S42" s="28"/>
      <c r="T42" s="28"/>
    </row>
    <row r="43" spans="1:20" ht="15.75" customHeight="1" x14ac:dyDescent="0.25">
      <c r="A43" s="73" t="s">
        <v>159</v>
      </c>
      <c r="B43" s="57"/>
    </row>
    <row r="44" spans="1:20" ht="15.75" customHeight="1" x14ac:dyDescent="0.25">
      <c r="A44" s="74" t="s">
        <v>160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7"/>
    </row>
    <row r="45" spans="1:20" ht="15.75" customHeight="1" x14ac:dyDescent="0.25">
      <c r="A45" s="77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</row>
    <row r="46" spans="1:20" ht="36" customHeight="1" x14ac:dyDescent="0.25">
      <c r="A46" s="75" t="s">
        <v>266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7"/>
    </row>
    <row r="47" spans="1:20" ht="19.5" customHeight="1" x14ac:dyDescent="0.25">
      <c r="A47" s="76" t="s">
        <v>96</v>
      </c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7"/>
    </row>
    <row r="48" spans="1:20" ht="21.75" customHeight="1" x14ac:dyDescent="0.25">
      <c r="A48" s="41" t="s">
        <v>97</v>
      </c>
      <c r="B48" s="42"/>
      <c r="C48" s="43" t="s">
        <v>98</v>
      </c>
      <c r="D48" s="44"/>
      <c r="E48" s="43" t="s">
        <v>99</v>
      </c>
      <c r="F48" s="44"/>
      <c r="G48" s="43" t="s">
        <v>100</v>
      </c>
      <c r="H48" s="44" t="s">
        <v>267</v>
      </c>
      <c r="I48" s="43" t="s">
        <v>102</v>
      </c>
      <c r="J48" s="44"/>
      <c r="K48" s="43" t="s">
        <v>103</v>
      </c>
      <c r="L48" s="44"/>
      <c r="M48" s="43" t="s">
        <v>104</v>
      </c>
      <c r="N48" s="44"/>
      <c r="O48" s="43" t="s">
        <v>105</v>
      </c>
      <c r="P48" s="44"/>
    </row>
    <row r="49" spans="1:20" ht="36" customHeight="1" x14ac:dyDescent="0.25">
      <c r="A49" s="45" t="s">
        <v>268</v>
      </c>
      <c r="B49" s="45" t="s">
        <v>107</v>
      </c>
      <c r="C49" s="46" t="s">
        <v>108</v>
      </c>
      <c r="D49" s="46" t="s">
        <v>109</v>
      </c>
      <c r="E49" s="46" t="s">
        <v>110</v>
      </c>
      <c r="F49" s="46" t="s">
        <v>111</v>
      </c>
      <c r="G49" s="46" t="s">
        <v>112</v>
      </c>
      <c r="H49" s="46" t="s">
        <v>113</v>
      </c>
      <c r="I49" s="46" t="s">
        <v>114</v>
      </c>
      <c r="J49" s="46" t="s">
        <v>115</v>
      </c>
      <c r="K49" s="46" t="s">
        <v>116</v>
      </c>
      <c r="L49" s="46" t="s">
        <v>117</v>
      </c>
      <c r="M49" s="46" t="s">
        <v>118</v>
      </c>
      <c r="N49" s="46" t="s">
        <v>119</v>
      </c>
      <c r="O49" s="46" t="s">
        <v>120</v>
      </c>
      <c r="P49" s="46" t="s">
        <v>121</v>
      </c>
      <c r="Q49" s="46" t="s">
        <v>122</v>
      </c>
      <c r="R49" s="46" t="s">
        <v>123</v>
      </c>
      <c r="S49" s="46" t="s">
        <v>124</v>
      </c>
      <c r="T49" s="46" t="s">
        <v>125</v>
      </c>
    </row>
    <row r="50" spans="1:20" ht="21.75" customHeight="1" x14ac:dyDescent="0.25">
      <c r="A50" s="47" t="s">
        <v>269</v>
      </c>
      <c r="B50" s="30" t="s">
        <v>270</v>
      </c>
      <c r="C50" s="13"/>
      <c r="D50" s="13"/>
      <c r="E50" s="26" t="str">
        <f t="shared" ref="E50:E65" si="12">IF(AND(ISNUMBER(C50),ISNUMBER(D50)),ROUND(C50*(1+D50/30),1),"—")</f>
        <v>—</v>
      </c>
      <c r="F50" s="13"/>
      <c r="G50" s="13"/>
      <c r="H50" s="26" t="str">
        <f t="shared" ref="H50:H65" si="13">IF(AND(ISNUMBER(F50),ISNUMBER(G50)),ROUND(F50*(1+G50/30),1),"—")</f>
        <v>—</v>
      </c>
      <c r="I50" s="13"/>
      <c r="J50" s="13"/>
      <c r="K50" s="26" t="str">
        <f t="shared" ref="K50:K65" si="14">IF(AND(ISNUMBER(I50),ISNUMBER(J50)),ROUND(I50*(1+J50/30),1),"—")</f>
        <v>—</v>
      </c>
      <c r="L50" s="13"/>
      <c r="M50" s="13"/>
      <c r="N50" s="26" t="str">
        <f t="shared" ref="N50:N65" si="15">IF(AND(ISNUMBER(L50),ISNUMBER(M50)),ROUND(L50*(1+M50/30),1),"—")</f>
        <v>—</v>
      </c>
      <c r="O50" s="13"/>
      <c r="P50" s="13"/>
      <c r="Q50" s="26" t="str">
        <f t="shared" ref="Q50:Q65" si="16">IF(AND(ISNUMBER(O50),ISNUMBER(P50)),ROUND(O50*(1+P50/30),1),"—")</f>
        <v>—</v>
      </c>
      <c r="R50" s="48">
        <f t="shared" ref="R50:R65" si="17">IFERROR(MAX(IFERROR(VALUE(E50),0),IFERROR(VALUE(H50),0),IFERROR(VALUE(K50),0),IFERROR(VALUE(N50),0),IFERROR(VALUE(Q50),0)),"—")</f>
        <v>0</v>
      </c>
      <c r="S50" s="28"/>
      <c r="T50" s="28"/>
    </row>
    <row r="51" spans="1:20" ht="21.75" customHeight="1" x14ac:dyDescent="0.25">
      <c r="A51" s="49" t="s">
        <v>271</v>
      </c>
      <c r="B51" s="50" t="s">
        <v>272</v>
      </c>
      <c r="C51" s="13"/>
      <c r="D51" s="13"/>
      <c r="E51" s="26" t="str">
        <f t="shared" si="12"/>
        <v>—</v>
      </c>
      <c r="F51" s="13"/>
      <c r="G51" s="13"/>
      <c r="H51" s="26" t="str">
        <f t="shared" si="13"/>
        <v>—</v>
      </c>
      <c r="I51" s="13"/>
      <c r="J51" s="13"/>
      <c r="K51" s="26" t="str">
        <f t="shared" si="14"/>
        <v>—</v>
      </c>
      <c r="L51" s="13"/>
      <c r="M51" s="13"/>
      <c r="N51" s="26" t="str">
        <f t="shared" si="15"/>
        <v>—</v>
      </c>
      <c r="O51" s="13"/>
      <c r="P51" s="13"/>
      <c r="Q51" s="26" t="str">
        <f t="shared" si="16"/>
        <v>—</v>
      </c>
      <c r="R51" s="48">
        <f t="shared" si="17"/>
        <v>0</v>
      </c>
      <c r="S51" s="28"/>
      <c r="T51" s="28"/>
    </row>
    <row r="52" spans="1:20" ht="21.75" customHeight="1" x14ac:dyDescent="0.25">
      <c r="A52" s="47" t="s">
        <v>273</v>
      </c>
      <c r="B52" s="30" t="s">
        <v>274</v>
      </c>
      <c r="C52" s="13"/>
      <c r="D52" s="13"/>
      <c r="E52" s="26" t="str">
        <f t="shared" si="12"/>
        <v>—</v>
      </c>
      <c r="F52" s="13"/>
      <c r="G52" s="13"/>
      <c r="H52" s="26" t="str">
        <f t="shared" si="13"/>
        <v>—</v>
      </c>
      <c r="I52" s="13"/>
      <c r="J52" s="13"/>
      <c r="K52" s="26" t="str">
        <f t="shared" si="14"/>
        <v>—</v>
      </c>
      <c r="L52" s="13"/>
      <c r="M52" s="13"/>
      <c r="N52" s="26" t="str">
        <f t="shared" si="15"/>
        <v>—</v>
      </c>
      <c r="O52" s="13"/>
      <c r="P52" s="13"/>
      <c r="Q52" s="26" t="str">
        <f t="shared" si="16"/>
        <v>—</v>
      </c>
      <c r="R52" s="48">
        <f t="shared" si="17"/>
        <v>0</v>
      </c>
      <c r="S52" s="28"/>
      <c r="T52" s="28"/>
    </row>
    <row r="53" spans="1:20" ht="21.75" customHeight="1" x14ac:dyDescent="0.25">
      <c r="A53" s="49" t="s">
        <v>275</v>
      </c>
      <c r="B53" s="50" t="s">
        <v>276</v>
      </c>
      <c r="C53" s="13"/>
      <c r="D53" s="13"/>
      <c r="E53" s="26" t="str">
        <f t="shared" si="12"/>
        <v>—</v>
      </c>
      <c r="F53" s="13"/>
      <c r="G53" s="13"/>
      <c r="H53" s="26" t="str">
        <f t="shared" si="13"/>
        <v>—</v>
      </c>
      <c r="I53" s="13"/>
      <c r="J53" s="13"/>
      <c r="K53" s="26" t="str">
        <f t="shared" si="14"/>
        <v>—</v>
      </c>
      <c r="L53" s="13"/>
      <c r="M53" s="13"/>
      <c r="N53" s="26" t="str">
        <f t="shared" si="15"/>
        <v>—</v>
      </c>
      <c r="O53" s="13"/>
      <c r="P53" s="13"/>
      <c r="Q53" s="26" t="str">
        <f t="shared" si="16"/>
        <v>—</v>
      </c>
      <c r="R53" s="48">
        <f t="shared" si="17"/>
        <v>0</v>
      </c>
      <c r="S53" s="28"/>
      <c r="T53" s="28"/>
    </row>
    <row r="54" spans="1:20" ht="21.75" customHeight="1" x14ac:dyDescent="0.25">
      <c r="A54" s="47" t="s">
        <v>277</v>
      </c>
      <c r="B54" s="30" t="s">
        <v>278</v>
      </c>
      <c r="C54" s="13"/>
      <c r="D54" s="13"/>
      <c r="E54" s="26" t="str">
        <f t="shared" si="12"/>
        <v>—</v>
      </c>
      <c r="F54" s="13"/>
      <c r="G54" s="13"/>
      <c r="H54" s="26" t="str">
        <f t="shared" si="13"/>
        <v>—</v>
      </c>
      <c r="I54" s="13"/>
      <c r="J54" s="13"/>
      <c r="K54" s="26" t="str">
        <f t="shared" si="14"/>
        <v>—</v>
      </c>
      <c r="L54" s="13"/>
      <c r="M54" s="13"/>
      <c r="N54" s="26" t="str">
        <f t="shared" si="15"/>
        <v>—</v>
      </c>
      <c r="O54" s="13"/>
      <c r="P54" s="13"/>
      <c r="Q54" s="26" t="str">
        <f t="shared" si="16"/>
        <v>—</v>
      </c>
      <c r="R54" s="48">
        <f t="shared" si="17"/>
        <v>0</v>
      </c>
      <c r="S54" s="28" t="s">
        <v>136</v>
      </c>
      <c r="T54" s="28" t="s">
        <v>199</v>
      </c>
    </row>
    <row r="55" spans="1:20" ht="21.75" customHeight="1" x14ac:dyDescent="0.25">
      <c r="A55" s="49" t="s">
        <v>279</v>
      </c>
      <c r="B55" s="50" t="s">
        <v>280</v>
      </c>
      <c r="C55" s="13"/>
      <c r="D55" s="13"/>
      <c r="E55" s="26" t="str">
        <f t="shared" si="12"/>
        <v>—</v>
      </c>
      <c r="F55" s="13"/>
      <c r="G55" s="13"/>
      <c r="H55" s="26" t="str">
        <f t="shared" si="13"/>
        <v>—</v>
      </c>
      <c r="I55" s="13"/>
      <c r="J55" s="13"/>
      <c r="K55" s="26" t="str">
        <f t="shared" si="14"/>
        <v>—</v>
      </c>
      <c r="L55" s="13"/>
      <c r="M55" s="13"/>
      <c r="N55" s="26" t="str">
        <f t="shared" si="15"/>
        <v>—</v>
      </c>
      <c r="O55" s="13"/>
      <c r="P55" s="13"/>
      <c r="Q55" s="26" t="str">
        <f t="shared" si="16"/>
        <v>—</v>
      </c>
      <c r="R55" s="48">
        <f t="shared" si="17"/>
        <v>0</v>
      </c>
      <c r="S55" s="28" t="s">
        <v>136</v>
      </c>
      <c r="T55" s="28" t="s">
        <v>199</v>
      </c>
    </row>
    <row r="56" spans="1:20" ht="21.75" customHeight="1" x14ac:dyDescent="0.25">
      <c r="A56" s="47" t="s">
        <v>281</v>
      </c>
      <c r="B56" s="30" t="s">
        <v>282</v>
      </c>
      <c r="C56" s="13"/>
      <c r="D56" s="13"/>
      <c r="E56" s="26" t="str">
        <f t="shared" si="12"/>
        <v>—</v>
      </c>
      <c r="F56" s="13"/>
      <c r="G56" s="13"/>
      <c r="H56" s="26" t="str">
        <f t="shared" si="13"/>
        <v>—</v>
      </c>
      <c r="I56" s="13"/>
      <c r="J56" s="13"/>
      <c r="K56" s="26" t="str">
        <f t="shared" si="14"/>
        <v>—</v>
      </c>
      <c r="L56" s="13"/>
      <c r="M56" s="13"/>
      <c r="N56" s="26" t="str">
        <f t="shared" si="15"/>
        <v>—</v>
      </c>
      <c r="O56" s="13"/>
      <c r="P56" s="13"/>
      <c r="Q56" s="26" t="str">
        <f t="shared" si="16"/>
        <v>—</v>
      </c>
      <c r="R56" s="48">
        <f t="shared" si="17"/>
        <v>0</v>
      </c>
      <c r="S56" s="28" t="s">
        <v>136</v>
      </c>
      <c r="T56" s="28" t="s">
        <v>283</v>
      </c>
    </row>
    <row r="57" spans="1:20" ht="21.75" customHeight="1" x14ac:dyDescent="0.25">
      <c r="A57" s="49" t="s">
        <v>284</v>
      </c>
      <c r="B57" s="50" t="s">
        <v>285</v>
      </c>
      <c r="C57" s="13"/>
      <c r="D57" s="13"/>
      <c r="E57" s="26" t="str">
        <f t="shared" si="12"/>
        <v>—</v>
      </c>
      <c r="F57" s="13"/>
      <c r="G57" s="13"/>
      <c r="H57" s="26" t="str">
        <f t="shared" si="13"/>
        <v>—</v>
      </c>
      <c r="I57" s="13"/>
      <c r="J57" s="13"/>
      <c r="K57" s="26" t="str">
        <f t="shared" si="14"/>
        <v>—</v>
      </c>
      <c r="L57" s="13"/>
      <c r="M57" s="13"/>
      <c r="N57" s="26" t="str">
        <f t="shared" si="15"/>
        <v>—</v>
      </c>
      <c r="O57" s="13"/>
      <c r="P57" s="13"/>
      <c r="Q57" s="26" t="str">
        <f t="shared" si="16"/>
        <v>—</v>
      </c>
      <c r="R57" s="48">
        <f t="shared" si="17"/>
        <v>0</v>
      </c>
      <c r="S57" s="28" t="s">
        <v>136</v>
      </c>
      <c r="T57" s="28" t="s">
        <v>199</v>
      </c>
    </row>
    <row r="58" spans="1:20" ht="21.75" customHeight="1" x14ac:dyDescent="0.25">
      <c r="A58" s="47" t="s">
        <v>286</v>
      </c>
      <c r="B58" s="30" t="s">
        <v>287</v>
      </c>
      <c r="C58" s="13"/>
      <c r="D58" s="13"/>
      <c r="E58" s="26" t="str">
        <f t="shared" si="12"/>
        <v>—</v>
      </c>
      <c r="F58" s="13"/>
      <c r="G58" s="13"/>
      <c r="H58" s="26" t="str">
        <f t="shared" si="13"/>
        <v>—</v>
      </c>
      <c r="I58" s="13"/>
      <c r="J58" s="13"/>
      <c r="K58" s="26" t="str">
        <f t="shared" si="14"/>
        <v>—</v>
      </c>
      <c r="L58" s="13"/>
      <c r="M58" s="13"/>
      <c r="N58" s="26" t="str">
        <f t="shared" si="15"/>
        <v>—</v>
      </c>
      <c r="O58" s="13"/>
      <c r="P58" s="13"/>
      <c r="Q58" s="26" t="str">
        <f t="shared" si="16"/>
        <v>—</v>
      </c>
      <c r="R58" s="48">
        <f t="shared" si="17"/>
        <v>0</v>
      </c>
      <c r="S58" s="28" t="s">
        <v>136</v>
      </c>
      <c r="T58" s="28" t="s">
        <v>140</v>
      </c>
    </row>
    <row r="59" spans="1:20" ht="21.75" customHeight="1" x14ac:dyDescent="0.25">
      <c r="A59" s="49" t="s">
        <v>288</v>
      </c>
      <c r="B59" s="50" t="s">
        <v>289</v>
      </c>
      <c r="C59" s="13"/>
      <c r="D59" s="13"/>
      <c r="E59" s="26" t="str">
        <f t="shared" si="12"/>
        <v>—</v>
      </c>
      <c r="F59" s="13"/>
      <c r="G59" s="13"/>
      <c r="H59" s="26" t="str">
        <f t="shared" si="13"/>
        <v>—</v>
      </c>
      <c r="I59" s="13"/>
      <c r="J59" s="13"/>
      <c r="K59" s="26" t="str">
        <f t="shared" si="14"/>
        <v>—</v>
      </c>
      <c r="L59" s="13"/>
      <c r="M59" s="13"/>
      <c r="N59" s="26" t="str">
        <f t="shared" si="15"/>
        <v>—</v>
      </c>
      <c r="O59" s="13"/>
      <c r="P59" s="13"/>
      <c r="Q59" s="26" t="str">
        <f t="shared" si="16"/>
        <v>—</v>
      </c>
      <c r="R59" s="48">
        <f t="shared" si="17"/>
        <v>0</v>
      </c>
      <c r="S59" s="28" t="s">
        <v>136</v>
      </c>
      <c r="T59" s="28" t="s">
        <v>196</v>
      </c>
    </row>
    <row r="60" spans="1:20" ht="21.75" customHeight="1" x14ac:dyDescent="0.25">
      <c r="A60" s="47" t="s">
        <v>290</v>
      </c>
      <c r="B60" s="30" t="s">
        <v>291</v>
      </c>
      <c r="C60" s="13"/>
      <c r="D60" s="13"/>
      <c r="E60" s="26" t="str">
        <f t="shared" si="12"/>
        <v>—</v>
      </c>
      <c r="F60" s="13"/>
      <c r="G60" s="13"/>
      <c r="H60" s="26" t="str">
        <f t="shared" si="13"/>
        <v>—</v>
      </c>
      <c r="I60" s="13"/>
      <c r="J60" s="13"/>
      <c r="K60" s="26" t="str">
        <f t="shared" si="14"/>
        <v>—</v>
      </c>
      <c r="L60" s="13"/>
      <c r="M60" s="13"/>
      <c r="N60" s="26" t="str">
        <f t="shared" si="15"/>
        <v>—</v>
      </c>
      <c r="O60" s="13"/>
      <c r="P60" s="13"/>
      <c r="Q60" s="26" t="str">
        <f t="shared" si="16"/>
        <v>—</v>
      </c>
      <c r="R60" s="48">
        <f t="shared" si="17"/>
        <v>0</v>
      </c>
      <c r="S60" s="28" t="s">
        <v>136</v>
      </c>
      <c r="T60" s="28" t="s">
        <v>283</v>
      </c>
    </row>
    <row r="61" spans="1:20" ht="21.75" customHeight="1" x14ac:dyDescent="0.25">
      <c r="A61" s="49" t="s">
        <v>292</v>
      </c>
      <c r="B61" s="50" t="s">
        <v>293</v>
      </c>
      <c r="C61" s="13"/>
      <c r="D61" s="13"/>
      <c r="E61" s="26" t="str">
        <f t="shared" si="12"/>
        <v>—</v>
      </c>
      <c r="F61" s="13"/>
      <c r="G61" s="13"/>
      <c r="H61" s="26" t="str">
        <f t="shared" si="13"/>
        <v>—</v>
      </c>
      <c r="I61" s="13"/>
      <c r="J61" s="13"/>
      <c r="K61" s="26" t="str">
        <f t="shared" si="14"/>
        <v>—</v>
      </c>
      <c r="L61" s="13"/>
      <c r="M61" s="13"/>
      <c r="N61" s="26" t="str">
        <f t="shared" si="15"/>
        <v>—</v>
      </c>
      <c r="O61" s="13"/>
      <c r="P61" s="13"/>
      <c r="Q61" s="26" t="str">
        <f t="shared" si="16"/>
        <v>—</v>
      </c>
      <c r="R61" s="48">
        <f t="shared" si="17"/>
        <v>0</v>
      </c>
      <c r="S61" s="28" t="s">
        <v>136</v>
      </c>
      <c r="T61" s="28" t="s">
        <v>283</v>
      </c>
    </row>
    <row r="62" spans="1:20" ht="21.75" customHeight="1" x14ac:dyDescent="0.25">
      <c r="A62" s="47" t="s">
        <v>294</v>
      </c>
      <c r="B62" s="30" t="s">
        <v>295</v>
      </c>
      <c r="C62" s="13"/>
      <c r="D62" s="13"/>
      <c r="E62" s="26" t="str">
        <f t="shared" si="12"/>
        <v>—</v>
      </c>
      <c r="F62" s="13"/>
      <c r="G62" s="13"/>
      <c r="H62" s="26" t="str">
        <f t="shared" si="13"/>
        <v>—</v>
      </c>
      <c r="I62" s="13"/>
      <c r="J62" s="13"/>
      <c r="K62" s="26" t="str">
        <f t="shared" si="14"/>
        <v>—</v>
      </c>
      <c r="L62" s="13"/>
      <c r="M62" s="13"/>
      <c r="N62" s="26" t="str">
        <f t="shared" si="15"/>
        <v>—</v>
      </c>
      <c r="O62" s="13"/>
      <c r="P62" s="13"/>
      <c r="Q62" s="26" t="str">
        <f t="shared" si="16"/>
        <v>—</v>
      </c>
      <c r="R62" s="48">
        <f t="shared" si="17"/>
        <v>0</v>
      </c>
      <c r="S62" s="28" t="s">
        <v>136</v>
      </c>
      <c r="T62" s="28" t="s">
        <v>197</v>
      </c>
    </row>
    <row r="63" spans="1:20" ht="21.75" customHeight="1" x14ac:dyDescent="0.25">
      <c r="A63" s="49" t="s">
        <v>296</v>
      </c>
      <c r="B63" s="50" t="s">
        <v>297</v>
      </c>
      <c r="C63" s="13"/>
      <c r="D63" s="13"/>
      <c r="E63" s="26" t="str">
        <f t="shared" si="12"/>
        <v>—</v>
      </c>
      <c r="F63" s="13"/>
      <c r="G63" s="13"/>
      <c r="H63" s="26" t="str">
        <f t="shared" si="13"/>
        <v>—</v>
      </c>
      <c r="I63" s="13"/>
      <c r="J63" s="13"/>
      <c r="K63" s="26" t="str">
        <f t="shared" si="14"/>
        <v>—</v>
      </c>
      <c r="L63" s="13"/>
      <c r="M63" s="13"/>
      <c r="N63" s="26" t="str">
        <f t="shared" si="15"/>
        <v>—</v>
      </c>
      <c r="O63" s="13"/>
      <c r="P63" s="13"/>
      <c r="Q63" s="26" t="str">
        <f t="shared" si="16"/>
        <v>—</v>
      </c>
      <c r="R63" s="48">
        <f t="shared" si="17"/>
        <v>0</v>
      </c>
      <c r="S63" s="28" t="s">
        <v>136</v>
      </c>
      <c r="T63" s="28" t="s">
        <v>199</v>
      </c>
    </row>
    <row r="64" spans="1:20" ht="21.75" customHeight="1" x14ac:dyDescent="0.25">
      <c r="A64" s="47" t="s">
        <v>298</v>
      </c>
      <c r="B64" s="30" t="s">
        <v>299</v>
      </c>
      <c r="C64" s="13"/>
      <c r="D64" s="13"/>
      <c r="E64" s="26" t="str">
        <f t="shared" si="12"/>
        <v>—</v>
      </c>
      <c r="F64" s="13"/>
      <c r="G64" s="13"/>
      <c r="H64" s="26" t="str">
        <f t="shared" si="13"/>
        <v>—</v>
      </c>
      <c r="I64" s="13"/>
      <c r="J64" s="13"/>
      <c r="K64" s="26" t="str">
        <f t="shared" si="14"/>
        <v>—</v>
      </c>
      <c r="L64" s="13"/>
      <c r="M64" s="13"/>
      <c r="N64" s="26" t="str">
        <f t="shared" si="15"/>
        <v>—</v>
      </c>
      <c r="O64" s="13"/>
      <c r="P64" s="13"/>
      <c r="Q64" s="26" t="str">
        <f t="shared" si="16"/>
        <v>—</v>
      </c>
      <c r="R64" s="48">
        <f t="shared" si="17"/>
        <v>0</v>
      </c>
      <c r="S64" s="28"/>
      <c r="T64" s="28"/>
    </row>
    <row r="65" spans="1:20" ht="21.75" customHeight="1" x14ac:dyDescent="0.25">
      <c r="A65" s="49" t="s">
        <v>300</v>
      </c>
      <c r="B65" s="50" t="s">
        <v>295</v>
      </c>
      <c r="C65" s="13"/>
      <c r="D65" s="13"/>
      <c r="E65" s="26" t="str">
        <f t="shared" si="12"/>
        <v>—</v>
      </c>
      <c r="F65" s="13"/>
      <c r="G65" s="13"/>
      <c r="H65" s="26" t="str">
        <f t="shared" si="13"/>
        <v>—</v>
      </c>
      <c r="I65" s="13"/>
      <c r="J65" s="13"/>
      <c r="K65" s="26" t="str">
        <f t="shared" si="14"/>
        <v>—</v>
      </c>
      <c r="L65" s="13"/>
      <c r="M65" s="13"/>
      <c r="N65" s="26" t="str">
        <f t="shared" si="15"/>
        <v>—</v>
      </c>
      <c r="O65" s="13"/>
      <c r="P65" s="13"/>
      <c r="Q65" s="26" t="str">
        <f t="shared" si="16"/>
        <v>—</v>
      </c>
      <c r="R65" s="48">
        <f t="shared" si="17"/>
        <v>0</v>
      </c>
      <c r="S65" s="28" t="s">
        <v>136</v>
      </c>
      <c r="T65" s="28" t="s">
        <v>301</v>
      </c>
    </row>
    <row r="66" spans="1:20" ht="19.5" customHeight="1" x14ac:dyDescent="0.25">
      <c r="A66" s="73" t="s">
        <v>159</v>
      </c>
      <c r="B66" s="57"/>
    </row>
    <row r="67" spans="1:20" ht="18" customHeight="1" x14ac:dyDescent="0.25">
      <c r="A67" s="74" t="s">
        <v>160</v>
      </c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7"/>
    </row>
    <row r="68" spans="1:20" ht="15.75" customHeight="1" x14ac:dyDescent="0.25">
      <c r="A68" s="6"/>
      <c r="B68" s="6"/>
    </row>
    <row r="69" spans="1:20" ht="15.75" customHeight="1" x14ac:dyDescent="0.25">
      <c r="A69" s="17" t="s">
        <v>97</v>
      </c>
      <c r="B69" s="18"/>
      <c r="C69" s="19" t="s">
        <v>98</v>
      </c>
      <c r="D69" s="20"/>
      <c r="E69" s="19" t="s">
        <v>99</v>
      </c>
      <c r="F69" s="20"/>
      <c r="G69" s="19" t="s">
        <v>100</v>
      </c>
      <c r="H69" s="20" t="s">
        <v>161</v>
      </c>
      <c r="I69" s="19" t="s">
        <v>102</v>
      </c>
      <c r="J69" s="20">
        <v>2</v>
      </c>
      <c r="K69" s="19" t="s">
        <v>103</v>
      </c>
      <c r="L69" s="20"/>
      <c r="M69" s="19" t="s">
        <v>104</v>
      </c>
      <c r="N69" s="20"/>
      <c r="O69" s="19" t="s">
        <v>105</v>
      </c>
      <c r="P69" s="20"/>
    </row>
    <row r="70" spans="1:20" ht="26.25" customHeight="1" x14ac:dyDescent="0.25">
      <c r="A70" s="29" t="s">
        <v>162</v>
      </c>
      <c r="B70" s="23" t="s">
        <v>107</v>
      </c>
      <c r="C70" s="23" t="s">
        <v>108</v>
      </c>
      <c r="D70" s="23" t="s">
        <v>109</v>
      </c>
      <c r="E70" s="23" t="s">
        <v>110</v>
      </c>
      <c r="F70" s="23" t="s">
        <v>111</v>
      </c>
      <c r="G70" s="23" t="s">
        <v>112</v>
      </c>
      <c r="H70" s="23" t="s">
        <v>113</v>
      </c>
      <c r="I70" s="23" t="s">
        <v>114</v>
      </c>
      <c r="J70" s="23" t="s">
        <v>115</v>
      </c>
      <c r="K70" s="23" t="s">
        <v>116</v>
      </c>
      <c r="L70" s="23" t="s">
        <v>117</v>
      </c>
      <c r="M70" s="23" t="s">
        <v>118</v>
      </c>
      <c r="N70" s="23" t="s">
        <v>119</v>
      </c>
      <c r="O70" s="23" t="s">
        <v>120</v>
      </c>
      <c r="P70" s="23" t="s">
        <v>121</v>
      </c>
      <c r="Q70" s="23" t="s">
        <v>122</v>
      </c>
      <c r="R70" s="23" t="s">
        <v>123</v>
      </c>
      <c r="S70" s="23" t="s">
        <v>124</v>
      </c>
      <c r="T70" s="23" t="s">
        <v>125</v>
      </c>
    </row>
    <row r="71" spans="1:20" ht="15.75" customHeight="1" x14ac:dyDescent="0.25">
      <c r="A71" s="24" t="s">
        <v>128</v>
      </c>
      <c r="B71" s="25" t="s">
        <v>129</v>
      </c>
      <c r="C71" s="13"/>
      <c r="D71" s="13"/>
      <c r="E71" s="26" t="str">
        <f t="shared" ref="E71:E85" si="18">IF(AND(ISNUMBER(C71),ISNUMBER(D71)),ROUND(C71*(1+D71/30),1),"—")</f>
        <v>—</v>
      </c>
      <c r="F71" s="13"/>
      <c r="G71" s="13"/>
      <c r="H71" s="26" t="str">
        <f t="shared" ref="H71:H85" si="19">IF(AND(ISNUMBER(F71),ISNUMBER(G71)),ROUND(F71*(1+G71/30),1),"—")</f>
        <v>—</v>
      </c>
      <c r="I71" s="13"/>
      <c r="J71" s="13"/>
      <c r="K71" s="26" t="str">
        <f t="shared" ref="K71:K85" si="20">IF(AND(ISNUMBER(I71),ISNUMBER(J71)),ROUND(I71*(1+J71/30),1),"—")</f>
        <v>—</v>
      </c>
      <c r="L71" s="13"/>
      <c r="M71" s="13"/>
      <c r="N71" s="26" t="str">
        <f t="shared" ref="N71:N85" si="21">IF(AND(ISNUMBER(L71),ISNUMBER(M71)),ROUND(L71*(1+M71/30),1),"—")</f>
        <v>—</v>
      </c>
      <c r="O71" s="13"/>
      <c r="P71" s="13"/>
      <c r="Q71" s="26" t="str">
        <f t="shared" ref="Q71:Q85" si="22">IF(AND(ISNUMBER(O71),ISNUMBER(P71)),ROUND(O71*(1+P71/30),1),"—")</f>
        <v>—</v>
      </c>
      <c r="R71" s="27">
        <f t="shared" ref="R71:R85" si="23">IFERROR(MAX(IFERROR(VALUE(E71),0),IFERROR(VALUE(H71),0),IFERROR(VALUE(K71),0),IFERROR(VALUE(N71),0),IFERROR(VALUE(Q71),0)),"—")</f>
        <v>0</v>
      </c>
      <c r="S71" s="28"/>
      <c r="T71" s="28"/>
    </row>
    <row r="72" spans="1:20" ht="15.75" customHeight="1" x14ac:dyDescent="0.25">
      <c r="A72" s="29" t="s">
        <v>163</v>
      </c>
      <c r="B72" s="30" t="s">
        <v>164</v>
      </c>
      <c r="C72" s="13"/>
      <c r="D72" s="13"/>
      <c r="E72" s="26" t="str">
        <f t="shared" si="18"/>
        <v>—</v>
      </c>
      <c r="F72" s="13"/>
      <c r="G72" s="13"/>
      <c r="H72" s="26" t="str">
        <f t="shared" si="19"/>
        <v>—</v>
      </c>
      <c r="I72" s="13"/>
      <c r="J72" s="13"/>
      <c r="K72" s="26" t="str">
        <f t="shared" si="20"/>
        <v>—</v>
      </c>
      <c r="L72" s="13"/>
      <c r="M72" s="13"/>
      <c r="N72" s="26" t="str">
        <f t="shared" si="21"/>
        <v>—</v>
      </c>
      <c r="O72" s="13"/>
      <c r="P72" s="13"/>
      <c r="Q72" s="26" t="str">
        <f t="shared" si="22"/>
        <v>—</v>
      </c>
      <c r="R72" s="27">
        <f t="shared" si="23"/>
        <v>0</v>
      </c>
      <c r="S72" s="28"/>
      <c r="T72" s="28"/>
    </row>
    <row r="73" spans="1:20" ht="15.75" customHeight="1" x14ac:dyDescent="0.25">
      <c r="A73" s="24" t="s">
        <v>165</v>
      </c>
      <c r="B73" s="25" t="s">
        <v>166</v>
      </c>
      <c r="C73" s="13"/>
      <c r="D73" s="13"/>
      <c r="E73" s="26" t="str">
        <f t="shared" si="18"/>
        <v>—</v>
      </c>
      <c r="F73" s="13"/>
      <c r="G73" s="13"/>
      <c r="H73" s="26" t="str">
        <f t="shared" si="19"/>
        <v>—</v>
      </c>
      <c r="I73" s="13"/>
      <c r="J73" s="13"/>
      <c r="K73" s="26" t="str">
        <f t="shared" si="20"/>
        <v>—</v>
      </c>
      <c r="L73" s="13"/>
      <c r="M73" s="13"/>
      <c r="N73" s="26" t="str">
        <f t="shared" si="21"/>
        <v>—</v>
      </c>
      <c r="O73" s="13"/>
      <c r="P73" s="13"/>
      <c r="Q73" s="26" t="str">
        <f t="shared" si="22"/>
        <v>—</v>
      </c>
      <c r="R73" s="27">
        <f t="shared" si="23"/>
        <v>0</v>
      </c>
      <c r="S73" s="28"/>
      <c r="T73" s="28"/>
    </row>
    <row r="74" spans="1:20" ht="15.75" customHeight="1" x14ac:dyDescent="0.25">
      <c r="A74" s="29" t="s">
        <v>167</v>
      </c>
      <c r="B74" s="30" t="s">
        <v>168</v>
      </c>
      <c r="C74" s="13">
        <v>2.5</v>
      </c>
      <c r="D74" s="13">
        <v>20</v>
      </c>
      <c r="E74" s="26">
        <f t="shared" si="18"/>
        <v>4.2</v>
      </c>
      <c r="F74" s="13"/>
      <c r="G74" s="13"/>
      <c r="H74" s="26" t="str">
        <f t="shared" si="19"/>
        <v>—</v>
      </c>
      <c r="I74" s="13"/>
      <c r="J74" s="13"/>
      <c r="K74" s="26" t="str">
        <f t="shared" si="20"/>
        <v>—</v>
      </c>
      <c r="L74" s="13"/>
      <c r="M74" s="13"/>
      <c r="N74" s="26" t="str">
        <f t="shared" si="21"/>
        <v>—</v>
      </c>
      <c r="O74" s="13"/>
      <c r="P74" s="13"/>
      <c r="Q74" s="26" t="str">
        <f t="shared" si="22"/>
        <v>—</v>
      </c>
      <c r="R74" s="27">
        <f t="shared" si="23"/>
        <v>4.2</v>
      </c>
      <c r="S74" s="28"/>
      <c r="T74" s="28"/>
    </row>
    <row r="75" spans="1:20" ht="15.75" customHeight="1" x14ac:dyDescent="0.25">
      <c r="A75" s="24" t="s">
        <v>169</v>
      </c>
      <c r="B75" s="25" t="s">
        <v>170</v>
      </c>
      <c r="C75" s="13">
        <v>5</v>
      </c>
      <c r="D75" s="13">
        <v>15</v>
      </c>
      <c r="E75" s="26">
        <f t="shared" si="18"/>
        <v>7.5</v>
      </c>
      <c r="F75" s="13">
        <v>7.5</v>
      </c>
      <c r="G75" s="13">
        <v>12</v>
      </c>
      <c r="H75" s="26">
        <f t="shared" si="19"/>
        <v>10.5</v>
      </c>
      <c r="I75" s="13">
        <v>10</v>
      </c>
      <c r="J75" s="13">
        <v>9</v>
      </c>
      <c r="K75" s="26">
        <f t="shared" si="20"/>
        <v>13</v>
      </c>
      <c r="L75" s="13"/>
      <c r="M75" s="13"/>
      <c r="N75" s="26" t="str">
        <f t="shared" si="21"/>
        <v>—</v>
      </c>
      <c r="O75" s="13"/>
      <c r="P75" s="13"/>
      <c r="Q75" s="26" t="str">
        <f t="shared" si="22"/>
        <v>—</v>
      </c>
      <c r="R75" s="27">
        <f t="shared" si="23"/>
        <v>13</v>
      </c>
      <c r="S75" s="28" t="s">
        <v>136</v>
      </c>
      <c r="T75" s="28" t="s">
        <v>171</v>
      </c>
    </row>
    <row r="76" spans="1:20" ht="15.75" customHeight="1" x14ac:dyDescent="0.25">
      <c r="A76" s="29" t="s">
        <v>172</v>
      </c>
      <c r="B76" s="30" t="s">
        <v>173</v>
      </c>
      <c r="C76" s="13">
        <v>7.5</v>
      </c>
      <c r="D76" s="13">
        <v>10</v>
      </c>
      <c r="E76" s="26">
        <f t="shared" si="18"/>
        <v>10</v>
      </c>
      <c r="F76" s="13">
        <v>10</v>
      </c>
      <c r="G76" s="13">
        <v>7</v>
      </c>
      <c r="H76" s="26">
        <f t="shared" si="19"/>
        <v>12.3</v>
      </c>
      <c r="I76" s="13">
        <v>10</v>
      </c>
      <c r="J76" s="13">
        <v>8</v>
      </c>
      <c r="K76" s="26">
        <f t="shared" si="20"/>
        <v>12.7</v>
      </c>
      <c r="L76" s="13"/>
      <c r="M76" s="13"/>
      <c r="N76" s="26" t="str">
        <f t="shared" si="21"/>
        <v>—</v>
      </c>
      <c r="O76" s="13"/>
      <c r="P76" s="13"/>
      <c r="Q76" s="26" t="str">
        <f t="shared" si="22"/>
        <v>—</v>
      </c>
      <c r="R76" s="27">
        <f t="shared" si="23"/>
        <v>12.7</v>
      </c>
      <c r="S76" s="28"/>
      <c r="T76" s="28"/>
    </row>
    <row r="77" spans="1:20" ht="15.75" customHeight="1" x14ac:dyDescent="0.25">
      <c r="A77" s="24" t="s">
        <v>174</v>
      </c>
      <c r="B77" s="25" t="s">
        <v>175</v>
      </c>
      <c r="C77" s="13">
        <v>7.5</v>
      </c>
      <c r="D77" s="13">
        <v>7</v>
      </c>
      <c r="E77" s="26">
        <f t="shared" si="18"/>
        <v>9.3000000000000007</v>
      </c>
      <c r="F77" s="13">
        <v>7.5</v>
      </c>
      <c r="G77" s="13">
        <v>7</v>
      </c>
      <c r="H77" s="26">
        <f t="shared" si="19"/>
        <v>9.3000000000000007</v>
      </c>
      <c r="I77" s="13">
        <v>7.5</v>
      </c>
      <c r="J77" s="13">
        <v>6</v>
      </c>
      <c r="K77" s="26">
        <f t="shared" si="20"/>
        <v>9</v>
      </c>
      <c r="L77" s="13"/>
      <c r="M77" s="13"/>
      <c r="N77" s="26" t="str">
        <f t="shared" si="21"/>
        <v>—</v>
      </c>
      <c r="O77" s="13"/>
      <c r="P77" s="13"/>
      <c r="Q77" s="26" t="str">
        <f t="shared" si="22"/>
        <v>—</v>
      </c>
      <c r="R77" s="27">
        <f t="shared" si="23"/>
        <v>9.3000000000000007</v>
      </c>
      <c r="S77" s="28" t="s">
        <v>136</v>
      </c>
      <c r="T77" s="28" t="s">
        <v>176</v>
      </c>
    </row>
    <row r="78" spans="1:20" ht="15.75" customHeight="1" x14ac:dyDescent="0.25">
      <c r="A78" s="29" t="s">
        <v>177</v>
      </c>
      <c r="B78" s="30" t="s">
        <v>178</v>
      </c>
      <c r="C78" s="13"/>
      <c r="D78" s="13">
        <v>4</v>
      </c>
      <c r="E78" s="26" t="str">
        <f t="shared" si="18"/>
        <v>—</v>
      </c>
      <c r="F78" s="13"/>
      <c r="G78" s="13">
        <v>3</v>
      </c>
      <c r="H78" s="26" t="str">
        <f t="shared" si="19"/>
        <v>—</v>
      </c>
      <c r="I78" s="13"/>
      <c r="J78" s="13">
        <v>3</v>
      </c>
      <c r="K78" s="26" t="str">
        <f t="shared" si="20"/>
        <v>—</v>
      </c>
      <c r="L78" s="13"/>
      <c r="M78" s="13"/>
      <c r="N78" s="26" t="str">
        <f t="shared" si="21"/>
        <v>—</v>
      </c>
      <c r="O78" s="13"/>
      <c r="P78" s="13"/>
      <c r="Q78" s="26" t="str">
        <f t="shared" si="22"/>
        <v>—</v>
      </c>
      <c r="R78" s="27">
        <f t="shared" si="23"/>
        <v>0</v>
      </c>
      <c r="S78" s="28" t="s">
        <v>136</v>
      </c>
      <c r="T78" s="28" t="s">
        <v>137</v>
      </c>
    </row>
    <row r="79" spans="1:20" ht="15.75" customHeight="1" x14ac:dyDescent="0.25">
      <c r="A79" s="24" t="s">
        <v>179</v>
      </c>
      <c r="B79" s="25" t="s">
        <v>180</v>
      </c>
      <c r="C79" s="13">
        <v>7.5</v>
      </c>
      <c r="D79" s="13">
        <v>20</v>
      </c>
      <c r="E79" s="26">
        <f t="shared" si="18"/>
        <v>12.5</v>
      </c>
      <c r="F79" s="13">
        <v>10</v>
      </c>
      <c r="G79" s="13">
        <v>17</v>
      </c>
      <c r="H79" s="26">
        <f t="shared" si="19"/>
        <v>15.7</v>
      </c>
      <c r="I79" s="13">
        <v>10</v>
      </c>
      <c r="J79" s="13">
        <v>20</v>
      </c>
      <c r="K79" s="26">
        <f t="shared" si="20"/>
        <v>16.7</v>
      </c>
      <c r="L79" s="13"/>
      <c r="M79" s="13"/>
      <c r="N79" s="26" t="str">
        <f t="shared" si="21"/>
        <v>—</v>
      </c>
      <c r="O79" s="13"/>
      <c r="P79" s="13"/>
      <c r="Q79" s="26" t="str">
        <f t="shared" si="22"/>
        <v>—</v>
      </c>
      <c r="R79" s="27">
        <f t="shared" si="23"/>
        <v>16.7</v>
      </c>
      <c r="S79" s="28" t="s">
        <v>136</v>
      </c>
      <c r="T79" s="28" t="s">
        <v>137</v>
      </c>
    </row>
    <row r="80" spans="1:20" ht="15.75" customHeight="1" x14ac:dyDescent="0.25">
      <c r="A80" s="29" t="s">
        <v>181</v>
      </c>
      <c r="B80" s="30" t="s">
        <v>182</v>
      </c>
      <c r="C80" s="13">
        <v>15</v>
      </c>
      <c r="D80" s="13">
        <v>10</v>
      </c>
      <c r="E80" s="26">
        <f t="shared" si="18"/>
        <v>20</v>
      </c>
      <c r="F80" s="13">
        <v>15</v>
      </c>
      <c r="G80" s="13">
        <v>10</v>
      </c>
      <c r="H80" s="26">
        <f t="shared" si="19"/>
        <v>20</v>
      </c>
      <c r="I80" s="13">
        <v>15</v>
      </c>
      <c r="J80" s="13">
        <v>6</v>
      </c>
      <c r="K80" s="26">
        <f t="shared" si="20"/>
        <v>18</v>
      </c>
      <c r="L80" s="13"/>
      <c r="M80" s="13"/>
      <c r="N80" s="26" t="str">
        <f t="shared" si="21"/>
        <v>—</v>
      </c>
      <c r="O80" s="13"/>
      <c r="P80" s="13"/>
      <c r="Q80" s="26" t="str">
        <f t="shared" si="22"/>
        <v>—</v>
      </c>
      <c r="R80" s="27">
        <f t="shared" si="23"/>
        <v>20</v>
      </c>
      <c r="S80" s="28" t="s">
        <v>136</v>
      </c>
      <c r="T80" s="28" t="s">
        <v>140</v>
      </c>
    </row>
    <row r="81" spans="1:20" ht="15.75" customHeight="1" x14ac:dyDescent="0.25">
      <c r="A81" s="24" t="s">
        <v>183</v>
      </c>
      <c r="B81" s="25" t="s">
        <v>184</v>
      </c>
      <c r="C81" s="13"/>
      <c r="D81" s="13">
        <v>4</v>
      </c>
      <c r="E81" s="26" t="str">
        <f t="shared" si="18"/>
        <v>—</v>
      </c>
      <c r="F81" s="13"/>
      <c r="G81" s="13">
        <v>2</v>
      </c>
      <c r="H81" s="26" t="str">
        <f t="shared" si="19"/>
        <v>—</v>
      </c>
      <c r="I81" s="13"/>
      <c r="J81" s="13"/>
      <c r="K81" s="26" t="str">
        <f t="shared" si="20"/>
        <v>—</v>
      </c>
      <c r="L81" s="13"/>
      <c r="M81" s="13"/>
      <c r="N81" s="26" t="str">
        <f t="shared" si="21"/>
        <v>—</v>
      </c>
      <c r="O81" s="13"/>
      <c r="P81" s="13"/>
      <c r="Q81" s="26" t="str">
        <f t="shared" si="22"/>
        <v>—</v>
      </c>
      <c r="R81" s="27">
        <f t="shared" si="23"/>
        <v>0</v>
      </c>
      <c r="S81" s="28" t="s">
        <v>136</v>
      </c>
      <c r="T81" s="28" t="s">
        <v>140</v>
      </c>
    </row>
    <row r="82" spans="1:20" ht="15.75" customHeight="1" x14ac:dyDescent="0.25">
      <c r="A82" s="29" t="s">
        <v>185</v>
      </c>
      <c r="B82" s="30" t="s">
        <v>186</v>
      </c>
      <c r="C82" s="13"/>
      <c r="D82" s="13"/>
      <c r="E82" s="26" t="str">
        <f t="shared" si="18"/>
        <v>—</v>
      </c>
      <c r="F82" s="13"/>
      <c r="G82" s="13"/>
      <c r="H82" s="26" t="str">
        <f t="shared" si="19"/>
        <v>—</v>
      </c>
      <c r="I82" s="13"/>
      <c r="J82" s="13"/>
      <c r="K82" s="26" t="str">
        <f t="shared" si="20"/>
        <v>—</v>
      </c>
      <c r="L82" s="13"/>
      <c r="M82" s="13"/>
      <c r="N82" s="26" t="str">
        <f t="shared" si="21"/>
        <v>—</v>
      </c>
      <c r="O82" s="13"/>
      <c r="P82" s="13"/>
      <c r="Q82" s="26" t="str">
        <f t="shared" si="22"/>
        <v>—</v>
      </c>
      <c r="R82" s="27">
        <f t="shared" si="23"/>
        <v>0</v>
      </c>
      <c r="S82" s="28" t="s">
        <v>151</v>
      </c>
      <c r="T82" s="28" t="s">
        <v>140</v>
      </c>
    </row>
    <row r="83" spans="1:20" ht="15.75" customHeight="1" x14ac:dyDescent="0.25">
      <c r="A83" s="24" t="s">
        <v>187</v>
      </c>
      <c r="B83" s="25" t="s">
        <v>188</v>
      </c>
      <c r="C83" s="13"/>
      <c r="D83" s="13"/>
      <c r="E83" s="26" t="str">
        <f t="shared" si="18"/>
        <v>—</v>
      </c>
      <c r="F83" s="13"/>
      <c r="G83" s="13"/>
      <c r="H83" s="26" t="str">
        <f t="shared" si="19"/>
        <v>—</v>
      </c>
      <c r="I83" s="13"/>
      <c r="J83" s="13"/>
      <c r="K83" s="26" t="str">
        <f t="shared" si="20"/>
        <v>—</v>
      </c>
      <c r="L83" s="13"/>
      <c r="M83" s="13"/>
      <c r="N83" s="26" t="str">
        <f t="shared" si="21"/>
        <v>—</v>
      </c>
      <c r="O83" s="13"/>
      <c r="P83" s="13"/>
      <c r="Q83" s="26" t="str">
        <f t="shared" si="22"/>
        <v>—</v>
      </c>
      <c r="R83" s="27">
        <f t="shared" si="23"/>
        <v>0</v>
      </c>
      <c r="S83" s="28"/>
      <c r="T83" s="28"/>
    </row>
    <row r="84" spans="1:20" ht="15.75" customHeight="1" x14ac:dyDescent="0.25">
      <c r="A84" s="29" t="s">
        <v>189</v>
      </c>
      <c r="B84" s="30" t="s">
        <v>188</v>
      </c>
      <c r="C84" s="13"/>
      <c r="D84" s="13"/>
      <c r="E84" s="26" t="str">
        <f t="shared" si="18"/>
        <v>—</v>
      </c>
      <c r="F84" s="13"/>
      <c r="G84" s="13"/>
      <c r="H84" s="26" t="str">
        <f t="shared" si="19"/>
        <v>—</v>
      </c>
      <c r="I84" s="13"/>
      <c r="J84" s="13"/>
      <c r="K84" s="26" t="str">
        <f t="shared" si="20"/>
        <v>—</v>
      </c>
      <c r="L84" s="13"/>
      <c r="M84" s="13"/>
      <c r="N84" s="26" t="str">
        <f t="shared" si="21"/>
        <v>—</v>
      </c>
      <c r="O84" s="13"/>
      <c r="P84" s="13"/>
      <c r="Q84" s="26" t="str">
        <f t="shared" si="22"/>
        <v>—</v>
      </c>
      <c r="R84" s="27">
        <f t="shared" si="23"/>
        <v>0</v>
      </c>
      <c r="S84" s="28"/>
      <c r="T84" s="28"/>
    </row>
    <row r="85" spans="1:20" ht="15.75" customHeight="1" x14ac:dyDescent="0.25">
      <c r="A85" s="24" t="s">
        <v>190</v>
      </c>
      <c r="B85" s="25" t="s">
        <v>191</v>
      </c>
      <c r="C85" s="13"/>
      <c r="D85" s="13"/>
      <c r="E85" s="26" t="str">
        <f t="shared" si="18"/>
        <v>—</v>
      </c>
      <c r="F85" s="13"/>
      <c r="G85" s="13"/>
      <c r="H85" s="26" t="str">
        <f t="shared" si="19"/>
        <v>—</v>
      </c>
      <c r="I85" s="13"/>
      <c r="J85" s="13"/>
      <c r="K85" s="26" t="str">
        <f t="shared" si="20"/>
        <v>—</v>
      </c>
      <c r="L85" s="13"/>
      <c r="M85" s="13"/>
      <c r="N85" s="26" t="str">
        <f t="shared" si="21"/>
        <v>—</v>
      </c>
      <c r="O85" s="13"/>
      <c r="P85" s="13"/>
      <c r="Q85" s="26" t="str">
        <f t="shared" si="22"/>
        <v>—</v>
      </c>
      <c r="R85" s="27">
        <f t="shared" si="23"/>
        <v>0</v>
      </c>
      <c r="S85" s="28"/>
      <c r="T85" s="28"/>
    </row>
    <row r="86" spans="1:20" ht="15.75" customHeight="1" x14ac:dyDescent="0.25">
      <c r="A86" s="73" t="s">
        <v>159</v>
      </c>
      <c r="B86" s="57"/>
    </row>
    <row r="87" spans="1:20" ht="15.75" customHeight="1" x14ac:dyDescent="0.25">
      <c r="A87" s="74" t="s">
        <v>160</v>
      </c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7"/>
    </row>
    <row r="88" spans="1:20" ht="15.75" customHeight="1" x14ac:dyDescent="0.25">
      <c r="A88" s="31" t="s">
        <v>97</v>
      </c>
      <c r="B88" s="32"/>
      <c r="C88" s="33" t="s">
        <v>98</v>
      </c>
      <c r="D88" s="34"/>
      <c r="E88" s="33" t="s">
        <v>99</v>
      </c>
      <c r="F88" s="34"/>
      <c r="G88" s="33" t="s">
        <v>100</v>
      </c>
      <c r="H88" s="34" t="s">
        <v>233</v>
      </c>
      <c r="I88" s="33" t="s">
        <v>102</v>
      </c>
      <c r="J88" s="34"/>
      <c r="K88" s="33" t="s">
        <v>103</v>
      </c>
      <c r="L88" s="34"/>
      <c r="M88" s="33" t="s">
        <v>104</v>
      </c>
      <c r="N88" s="34"/>
      <c r="O88" s="33" t="s">
        <v>105</v>
      </c>
      <c r="P88" s="34"/>
    </row>
    <row r="89" spans="1:20" ht="15.75" customHeight="1" x14ac:dyDescent="0.25">
      <c r="A89" s="35" t="s">
        <v>234</v>
      </c>
      <c r="B89" s="35" t="s">
        <v>107</v>
      </c>
      <c r="C89" s="36" t="s">
        <v>108</v>
      </c>
      <c r="D89" s="36" t="s">
        <v>109</v>
      </c>
      <c r="E89" s="36" t="s">
        <v>110</v>
      </c>
      <c r="F89" s="36" t="s">
        <v>111</v>
      </c>
      <c r="G89" s="36" t="s">
        <v>112</v>
      </c>
      <c r="H89" s="36" t="s">
        <v>113</v>
      </c>
      <c r="I89" s="36" t="s">
        <v>114</v>
      </c>
      <c r="J89" s="36" t="s">
        <v>115</v>
      </c>
      <c r="K89" s="36" t="s">
        <v>116</v>
      </c>
      <c r="L89" s="36" t="s">
        <v>117</v>
      </c>
      <c r="M89" s="36" t="s">
        <v>118</v>
      </c>
      <c r="N89" s="36" t="s">
        <v>119</v>
      </c>
      <c r="O89" s="36" t="s">
        <v>120</v>
      </c>
      <c r="P89" s="36" t="s">
        <v>121</v>
      </c>
      <c r="Q89" s="36" t="s">
        <v>122</v>
      </c>
      <c r="R89" s="36" t="s">
        <v>123</v>
      </c>
      <c r="S89" s="36" t="s">
        <v>124</v>
      </c>
      <c r="T89" s="36" t="s">
        <v>125</v>
      </c>
    </row>
    <row r="90" spans="1:20" ht="15.75" customHeight="1" x14ac:dyDescent="0.25">
      <c r="A90" s="37" t="s">
        <v>235</v>
      </c>
      <c r="B90" s="38" t="s">
        <v>236</v>
      </c>
      <c r="C90" s="13"/>
      <c r="D90" s="13">
        <v>15</v>
      </c>
      <c r="E90" s="26" t="str">
        <f t="shared" ref="E90:E100" si="24">IF(AND(ISNUMBER(C90),ISNUMBER(D90)),ROUND(C90*(1+D90/30),1),"—")</f>
        <v>—</v>
      </c>
      <c r="F90" s="13"/>
      <c r="G90" s="13"/>
      <c r="H90" s="26" t="str">
        <f t="shared" ref="H90:H100" si="25">IF(AND(ISNUMBER(F90),ISNUMBER(G90)),ROUND(F90*(1+G90/30),1),"—")</f>
        <v>—</v>
      </c>
      <c r="I90" s="13"/>
      <c r="J90" s="13"/>
      <c r="K90" s="26" t="str">
        <f t="shared" ref="K90:K100" si="26">IF(AND(ISNUMBER(I90),ISNUMBER(J90)),ROUND(I90*(1+J90/30),1),"—")</f>
        <v>—</v>
      </c>
      <c r="L90" s="13"/>
      <c r="M90" s="13"/>
      <c r="N90" s="26" t="str">
        <f t="shared" ref="N90:N100" si="27">IF(AND(ISNUMBER(L90),ISNUMBER(M90)),ROUND(L90*(1+M90/30),1),"—")</f>
        <v>—</v>
      </c>
      <c r="O90" s="13"/>
      <c r="P90" s="13"/>
      <c r="Q90" s="26" t="str">
        <f t="shared" ref="Q90:Q100" si="28">IF(AND(ISNUMBER(O90),ISNUMBER(P90)),ROUND(O90*(1+P90/30),1),"—")</f>
        <v>—</v>
      </c>
      <c r="R90" s="39">
        <f t="shared" ref="R90:R100" si="29">IFERROR(MAX(IFERROR(VALUE(E90),0),IFERROR(VALUE(H90),0),IFERROR(VALUE(K90),0),IFERROR(VALUE(N90),0),IFERROR(VALUE(Q90),0)),"—")</f>
        <v>0</v>
      </c>
      <c r="S90" s="28"/>
      <c r="T90" s="28"/>
    </row>
    <row r="91" spans="1:20" ht="15.75" customHeight="1" x14ac:dyDescent="0.25">
      <c r="A91" s="40" t="s">
        <v>237</v>
      </c>
      <c r="B91" s="30" t="s">
        <v>238</v>
      </c>
      <c r="C91" s="13"/>
      <c r="D91" s="13">
        <v>10</v>
      </c>
      <c r="E91" s="26" t="str">
        <f t="shared" si="24"/>
        <v>—</v>
      </c>
      <c r="F91" s="13"/>
      <c r="G91" s="13"/>
      <c r="H91" s="26" t="str">
        <f t="shared" si="25"/>
        <v>—</v>
      </c>
      <c r="I91" s="13"/>
      <c r="J91" s="13"/>
      <c r="K91" s="26" t="str">
        <f t="shared" si="26"/>
        <v>—</v>
      </c>
      <c r="L91" s="13"/>
      <c r="M91" s="13"/>
      <c r="N91" s="26" t="str">
        <f t="shared" si="27"/>
        <v>—</v>
      </c>
      <c r="O91" s="13"/>
      <c r="P91" s="13"/>
      <c r="Q91" s="26" t="str">
        <f t="shared" si="28"/>
        <v>—</v>
      </c>
      <c r="R91" s="39">
        <f t="shared" si="29"/>
        <v>0</v>
      </c>
      <c r="S91" s="28"/>
      <c r="T91" s="28"/>
    </row>
    <row r="92" spans="1:20" ht="15.75" customHeight="1" x14ac:dyDescent="0.25">
      <c r="A92" s="37" t="s">
        <v>239</v>
      </c>
      <c r="B92" s="38" t="s">
        <v>240</v>
      </c>
      <c r="C92" s="13"/>
      <c r="D92" s="13"/>
      <c r="E92" s="26" t="str">
        <f t="shared" si="24"/>
        <v>—</v>
      </c>
      <c r="F92" s="13"/>
      <c r="G92" s="13"/>
      <c r="H92" s="26" t="str">
        <f t="shared" si="25"/>
        <v>—</v>
      </c>
      <c r="I92" s="13"/>
      <c r="J92" s="13"/>
      <c r="K92" s="26" t="str">
        <f t="shared" si="26"/>
        <v>—</v>
      </c>
      <c r="L92" s="13"/>
      <c r="M92" s="13"/>
      <c r="N92" s="26" t="str">
        <f t="shared" si="27"/>
        <v>—</v>
      </c>
      <c r="O92" s="13"/>
      <c r="P92" s="13"/>
      <c r="Q92" s="26" t="str">
        <f t="shared" si="28"/>
        <v>—</v>
      </c>
      <c r="R92" s="39">
        <f t="shared" si="29"/>
        <v>0</v>
      </c>
      <c r="S92" s="28"/>
      <c r="T92" s="28"/>
    </row>
    <row r="93" spans="1:20" ht="20.25" customHeight="1" x14ac:dyDescent="0.25">
      <c r="A93" s="40" t="s">
        <v>241</v>
      </c>
      <c r="B93" s="30" t="s">
        <v>242</v>
      </c>
      <c r="C93" s="13"/>
      <c r="D93" s="13">
        <v>8</v>
      </c>
      <c r="E93" s="26" t="str">
        <f t="shared" si="24"/>
        <v>—</v>
      </c>
      <c r="F93" s="13"/>
      <c r="G93" s="13"/>
      <c r="H93" s="26" t="str">
        <f t="shared" si="25"/>
        <v>—</v>
      </c>
      <c r="I93" s="13"/>
      <c r="J93" s="13"/>
      <c r="K93" s="26" t="str">
        <f t="shared" si="26"/>
        <v>—</v>
      </c>
      <c r="L93" s="13"/>
      <c r="M93" s="13"/>
      <c r="N93" s="26" t="str">
        <f t="shared" si="27"/>
        <v>—</v>
      </c>
      <c r="O93" s="13"/>
      <c r="P93" s="13"/>
      <c r="Q93" s="26" t="str">
        <f t="shared" si="28"/>
        <v>—</v>
      </c>
      <c r="R93" s="39">
        <f t="shared" si="29"/>
        <v>0</v>
      </c>
      <c r="S93" s="28"/>
      <c r="T93" s="28"/>
    </row>
    <row r="94" spans="1:20" ht="15.75" customHeight="1" x14ac:dyDescent="0.25">
      <c r="A94" s="37" t="s">
        <v>243</v>
      </c>
      <c r="B94" s="38" t="s">
        <v>244</v>
      </c>
      <c r="C94" s="13"/>
      <c r="D94" s="13">
        <v>2</v>
      </c>
      <c r="E94" s="26" t="str">
        <f t="shared" si="24"/>
        <v>—</v>
      </c>
      <c r="F94" s="13"/>
      <c r="G94" s="13">
        <v>2</v>
      </c>
      <c r="H94" s="26" t="str">
        <f t="shared" si="25"/>
        <v>—</v>
      </c>
      <c r="I94" s="13"/>
      <c r="J94" s="13">
        <v>2</v>
      </c>
      <c r="K94" s="26" t="str">
        <f t="shared" si="26"/>
        <v>—</v>
      </c>
      <c r="L94" s="13"/>
      <c r="M94" s="13"/>
      <c r="N94" s="26" t="str">
        <f t="shared" si="27"/>
        <v>—</v>
      </c>
      <c r="O94" s="13"/>
      <c r="P94" s="13"/>
      <c r="Q94" s="26" t="str">
        <f t="shared" si="28"/>
        <v>—</v>
      </c>
      <c r="R94" s="39">
        <f t="shared" si="29"/>
        <v>0</v>
      </c>
      <c r="S94" s="28" t="s">
        <v>136</v>
      </c>
      <c r="T94" s="28" t="s">
        <v>212</v>
      </c>
    </row>
    <row r="95" spans="1:20" ht="15.75" customHeight="1" x14ac:dyDescent="0.25">
      <c r="A95" s="40" t="s">
        <v>245</v>
      </c>
      <c r="B95" s="30" t="s">
        <v>246</v>
      </c>
      <c r="C95" s="13"/>
      <c r="D95" s="13"/>
      <c r="E95" s="26" t="str">
        <f t="shared" si="24"/>
        <v>—</v>
      </c>
      <c r="F95" s="13"/>
      <c r="G95" s="13"/>
      <c r="H95" s="26" t="str">
        <f t="shared" si="25"/>
        <v>—</v>
      </c>
      <c r="I95" s="13"/>
      <c r="J95" s="13"/>
      <c r="K95" s="26" t="str">
        <f t="shared" si="26"/>
        <v>—</v>
      </c>
      <c r="L95" s="13"/>
      <c r="M95" s="13"/>
      <c r="N95" s="26" t="str">
        <f t="shared" si="27"/>
        <v>—</v>
      </c>
      <c r="O95" s="13"/>
      <c r="P95" s="13"/>
      <c r="Q95" s="26" t="str">
        <f t="shared" si="28"/>
        <v>—</v>
      </c>
      <c r="R95" s="39">
        <f t="shared" si="29"/>
        <v>0</v>
      </c>
      <c r="S95" s="28" t="s">
        <v>136</v>
      </c>
      <c r="T95" s="28" t="s">
        <v>199</v>
      </c>
    </row>
    <row r="96" spans="1:20" ht="15.75" customHeight="1" x14ac:dyDescent="0.25">
      <c r="A96" s="37" t="s">
        <v>247</v>
      </c>
      <c r="B96" s="38" t="s">
        <v>248</v>
      </c>
      <c r="C96" s="13">
        <v>10</v>
      </c>
      <c r="D96" s="13">
        <v>15</v>
      </c>
      <c r="E96" s="26">
        <f t="shared" si="24"/>
        <v>15</v>
      </c>
      <c r="F96" s="13">
        <v>10</v>
      </c>
      <c r="G96" s="13">
        <v>15</v>
      </c>
      <c r="H96" s="26">
        <f t="shared" si="25"/>
        <v>15</v>
      </c>
      <c r="I96" s="13">
        <v>10</v>
      </c>
      <c r="J96" s="13">
        <v>15</v>
      </c>
      <c r="K96" s="26">
        <f t="shared" si="26"/>
        <v>15</v>
      </c>
      <c r="L96" s="13"/>
      <c r="M96" s="13"/>
      <c r="N96" s="26" t="str">
        <f t="shared" si="27"/>
        <v>—</v>
      </c>
      <c r="O96" s="13"/>
      <c r="P96" s="13"/>
      <c r="Q96" s="26" t="str">
        <f t="shared" si="28"/>
        <v>—</v>
      </c>
      <c r="R96" s="39">
        <f t="shared" si="29"/>
        <v>15</v>
      </c>
      <c r="S96" s="28" t="s">
        <v>136</v>
      </c>
      <c r="T96" s="28" t="s">
        <v>199</v>
      </c>
    </row>
    <row r="97" spans="1:20" ht="15.75" customHeight="1" x14ac:dyDescent="0.25">
      <c r="A97" s="40" t="s">
        <v>249</v>
      </c>
      <c r="B97" s="30" t="s">
        <v>250</v>
      </c>
      <c r="C97" s="13">
        <v>10</v>
      </c>
      <c r="D97" s="13">
        <v>15</v>
      </c>
      <c r="E97" s="26">
        <f t="shared" si="24"/>
        <v>15</v>
      </c>
      <c r="F97" s="13">
        <v>10</v>
      </c>
      <c r="G97" s="13">
        <v>15</v>
      </c>
      <c r="H97" s="26">
        <f t="shared" si="25"/>
        <v>15</v>
      </c>
      <c r="I97" s="13">
        <v>10</v>
      </c>
      <c r="J97" s="13">
        <v>15</v>
      </c>
      <c r="K97" s="26">
        <f t="shared" si="26"/>
        <v>15</v>
      </c>
      <c r="L97" s="13"/>
      <c r="M97" s="13"/>
      <c r="N97" s="26" t="str">
        <f t="shared" si="27"/>
        <v>—</v>
      </c>
      <c r="O97" s="13"/>
      <c r="P97" s="13"/>
      <c r="Q97" s="26" t="str">
        <f t="shared" si="28"/>
        <v>—</v>
      </c>
      <c r="R97" s="39">
        <f t="shared" si="29"/>
        <v>15</v>
      </c>
      <c r="S97" s="28" t="s">
        <v>136</v>
      </c>
      <c r="T97" s="28" t="s">
        <v>199</v>
      </c>
    </row>
    <row r="98" spans="1:20" ht="15.75" customHeight="1" x14ac:dyDescent="0.25">
      <c r="A98" s="37" t="s">
        <v>251</v>
      </c>
      <c r="B98" s="38" t="s">
        <v>252</v>
      </c>
      <c r="C98" s="13"/>
      <c r="D98" s="13"/>
      <c r="E98" s="26" t="str">
        <f t="shared" si="24"/>
        <v>—</v>
      </c>
      <c r="F98" s="13"/>
      <c r="G98" s="13"/>
      <c r="H98" s="26" t="str">
        <f t="shared" si="25"/>
        <v>—</v>
      </c>
      <c r="I98" s="13"/>
      <c r="J98" s="13"/>
      <c r="K98" s="26" t="str">
        <f t="shared" si="26"/>
        <v>—</v>
      </c>
      <c r="L98" s="13"/>
      <c r="M98" s="13"/>
      <c r="N98" s="26" t="str">
        <f t="shared" si="27"/>
        <v>—</v>
      </c>
      <c r="O98" s="13"/>
      <c r="P98" s="13"/>
      <c r="Q98" s="26" t="str">
        <f t="shared" si="28"/>
        <v>—</v>
      </c>
      <c r="R98" s="39">
        <f t="shared" si="29"/>
        <v>0</v>
      </c>
      <c r="S98" s="28" t="s">
        <v>136</v>
      </c>
      <c r="T98" s="28" t="s">
        <v>140</v>
      </c>
    </row>
    <row r="99" spans="1:20" ht="15.75" customHeight="1" x14ac:dyDescent="0.25">
      <c r="A99" s="40" t="s">
        <v>253</v>
      </c>
      <c r="B99" s="30" t="s">
        <v>254</v>
      </c>
      <c r="C99" s="13">
        <v>10</v>
      </c>
      <c r="D99" s="13">
        <v>6</v>
      </c>
      <c r="E99" s="26">
        <f t="shared" si="24"/>
        <v>12</v>
      </c>
      <c r="F99" s="13">
        <v>10</v>
      </c>
      <c r="G99" s="13">
        <v>4</v>
      </c>
      <c r="H99" s="26">
        <f t="shared" si="25"/>
        <v>11.3</v>
      </c>
      <c r="I99" s="13">
        <v>10</v>
      </c>
      <c r="J99" s="13">
        <v>3</v>
      </c>
      <c r="K99" s="26">
        <f t="shared" si="26"/>
        <v>11</v>
      </c>
      <c r="L99" s="13"/>
      <c r="M99" s="13"/>
      <c r="N99" s="26" t="str">
        <f t="shared" si="27"/>
        <v>—</v>
      </c>
      <c r="O99" s="13"/>
      <c r="P99" s="13"/>
      <c r="Q99" s="26" t="str">
        <f t="shared" si="28"/>
        <v>—</v>
      </c>
      <c r="R99" s="39">
        <f t="shared" si="29"/>
        <v>12</v>
      </c>
      <c r="S99" s="28" t="s">
        <v>136</v>
      </c>
      <c r="T99" s="28" t="s">
        <v>140</v>
      </c>
    </row>
    <row r="100" spans="1:20" ht="15.75" customHeight="1" x14ac:dyDescent="0.25">
      <c r="A100" s="37" t="s">
        <v>255</v>
      </c>
      <c r="B100" s="38" t="s">
        <v>256</v>
      </c>
      <c r="C100" s="13">
        <v>10</v>
      </c>
      <c r="D100" s="13">
        <v>9</v>
      </c>
      <c r="E100" s="26">
        <f t="shared" si="24"/>
        <v>13</v>
      </c>
      <c r="F100" s="13">
        <v>10</v>
      </c>
      <c r="G100" s="13">
        <v>6</v>
      </c>
      <c r="H100" s="26">
        <f t="shared" si="25"/>
        <v>12</v>
      </c>
      <c r="I100" s="13">
        <v>10</v>
      </c>
      <c r="J100" s="13">
        <v>6</v>
      </c>
      <c r="K100" s="26">
        <f t="shared" si="26"/>
        <v>12</v>
      </c>
      <c r="L100" s="13"/>
      <c r="M100" s="13"/>
      <c r="N100" s="26" t="str">
        <f t="shared" si="27"/>
        <v>—</v>
      </c>
      <c r="O100" s="13"/>
      <c r="P100" s="13"/>
      <c r="Q100" s="26" t="str">
        <f t="shared" si="28"/>
        <v>—</v>
      </c>
      <c r="R100" s="39">
        <f t="shared" si="29"/>
        <v>13</v>
      </c>
      <c r="S100" s="28"/>
      <c r="T100" s="28"/>
    </row>
    <row r="101" spans="1:20" ht="15.75" customHeight="1" x14ac:dyDescent="0.25">
      <c r="A101" s="40" t="s">
        <v>257</v>
      </c>
      <c r="B101" s="30" t="s">
        <v>258</v>
      </c>
      <c r="C101" s="13">
        <v>10</v>
      </c>
      <c r="D101" s="13">
        <v>10</v>
      </c>
      <c r="E101" s="26"/>
      <c r="F101" s="13">
        <v>10</v>
      </c>
      <c r="G101" s="13">
        <v>10</v>
      </c>
      <c r="H101" s="26"/>
      <c r="I101" s="13">
        <v>10</v>
      </c>
      <c r="J101" s="13">
        <v>10</v>
      </c>
      <c r="K101" s="26"/>
      <c r="L101" s="13">
        <v>10</v>
      </c>
      <c r="M101" s="13">
        <v>10</v>
      </c>
      <c r="N101" s="26"/>
      <c r="O101" s="13"/>
      <c r="P101" s="13"/>
      <c r="Q101" s="26"/>
      <c r="R101" s="39"/>
      <c r="S101" s="28"/>
      <c r="T101" s="28"/>
    </row>
    <row r="102" spans="1:20" ht="15.75" customHeight="1" x14ac:dyDescent="0.25">
      <c r="A102" s="40" t="s">
        <v>259</v>
      </c>
      <c r="B102" s="30" t="s">
        <v>188</v>
      </c>
      <c r="C102" s="13"/>
      <c r="D102" s="13"/>
      <c r="E102" s="26" t="str">
        <f t="shared" ref="E102:E105" si="30">IF(AND(ISNUMBER(C102),ISNUMBER(D102)),ROUND(C102*(1+D102/30),1),"—")</f>
        <v>—</v>
      </c>
      <c r="F102" s="13"/>
      <c r="G102" s="13"/>
      <c r="H102" s="26" t="str">
        <f t="shared" ref="H102:H105" si="31">IF(AND(ISNUMBER(F102),ISNUMBER(G102)),ROUND(F102*(1+G102/30),1),"—")</f>
        <v>—</v>
      </c>
      <c r="I102" s="13"/>
      <c r="J102" s="13"/>
      <c r="K102" s="26" t="str">
        <f t="shared" ref="K102:K105" si="32">IF(AND(ISNUMBER(I102),ISNUMBER(J102)),ROUND(I102*(1+J102/30),1),"—")</f>
        <v>—</v>
      </c>
      <c r="L102" s="13"/>
      <c r="M102" s="13"/>
      <c r="N102" s="26" t="str">
        <f t="shared" ref="N102:N105" si="33">IF(AND(ISNUMBER(L102),ISNUMBER(M102)),ROUND(L102*(1+M102/30),1),"—")</f>
        <v>—</v>
      </c>
      <c r="O102" s="13"/>
      <c r="P102" s="13"/>
      <c r="Q102" s="26" t="str">
        <f t="shared" ref="Q102:Q105" si="34">IF(AND(ISNUMBER(O102),ISNUMBER(P102)),ROUND(O102*(1+P102/30),1),"—")</f>
        <v>—</v>
      </c>
      <c r="R102" s="39">
        <f t="shared" ref="R102:R105" si="35">IFERROR(MAX(IFERROR(VALUE(E102),0),IFERROR(VALUE(H102),0),IFERROR(VALUE(K102),0),IFERROR(VALUE(N102),0),IFERROR(VALUE(Q102),0)),"—")</f>
        <v>0</v>
      </c>
      <c r="S102" s="28"/>
      <c r="T102" s="28"/>
    </row>
    <row r="103" spans="1:20" ht="15.75" customHeight="1" x14ac:dyDescent="0.25">
      <c r="A103" s="37" t="s">
        <v>260</v>
      </c>
      <c r="B103" s="38" t="s">
        <v>191</v>
      </c>
      <c r="C103" s="13"/>
      <c r="D103" s="13"/>
      <c r="E103" s="26" t="str">
        <f t="shared" si="30"/>
        <v>—</v>
      </c>
      <c r="F103" s="13"/>
      <c r="G103" s="13"/>
      <c r="H103" s="26" t="str">
        <f t="shared" si="31"/>
        <v>—</v>
      </c>
      <c r="I103" s="13"/>
      <c r="J103" s="13"/>
      <c r="K103" s="26" t="str">
        <f t="shared" si="32"/>
        <v>—</v>
      </c>
      <c r="L103" s="13"/>
      <c r="M103" s="13"/>
      <c r="N103" s="26" t="str">
        <f t="shared" si="33"/>
        <v>—</v>
      </c>
      <c r="O103" s="13"/>
      <c r="P103" s="13"/>
      <c r="Q103" s="26" t="str">
        <f t="shared" si="34"/>
        <v>—</v>
      </c>
      <c r="R103" s="39">
        <f t="shared" si="35"/>
        <v>0</v>
      </c>
      <c r="S103" s="28"/>
      <c r="T103" s="28"/>
    </row>
    <row r="104" spans="1:20" ht="15.75" customHeight="1" x14ac:dyDescent="0.25">
      <c r="A104" s="40" t="s">
        <v>261</v>
      </c>
      <c r="B104" s="30" t="s">
        <v>188</v>
      </c>
      <c r="C104" s="13"/>
      <c r="D104" s="13"/>
      <c r="E104" s="26" t="str">
        <f t="shared" si="30"/>
        <v>—</v>
      </c>
      <c r="F104" s="13"/>
      <c r="G104" s="13"/>
      <c r="H104" s="26" t="str">
        <f t="shared" si="31"/>
        <v>—</v>
      </c>
      <c r="I104" s="13"/>
      <c r="J104" s="13"/>
      <c r="K104" s="26" t="str">
        <f t="shared" si="32"/>
        <v>—</v>
      </c>
      <c r="L104" s="13"/>
      <c r="M104" s="13"/>
      <c r="N104" s="26" t="str">
        <f t="shared" si="33"/>
        <v>—</v>
      </c>
      <c r="O104" s="13"/>
      <c r="P104" s="13"/>
      <c r="Q104" s="26" t="str">
        <f t="shared" si="34"/>
        <v>—</v>
      </c>
      <c r="R104" s="39">
        <f t="shared" si="35"/>
        <v>0</v>
      </c>
      <c r="S104" s="28"/>
      <c r="T104" s="28"/>
    </row>
    <row r="105" spans="1:20" ht="15.75" customHeight="1" x14ac:dyDescent="0.25">
      <c r="A105" s="37" t="s">
        <v>262</v>
      </c>
      <c r="B105" s="38" t="s">
        <v>263</v>
      </c>
      <c r="C105" s="13"/>
      <c r="D105" s="13"/>
      <c r="E105" s="26" t="str">
        <f t="shared" si="30"/>
        <v>—</v>
      </c>
      <c r="F105" s="13"/>
      <c r="G105" s="13"/>
      <c r="H105" s="26" t="str">
        <f t="shared" si="31"/>
        <v>—</v>
      </c>
      <c r="I105" s="13"/>
      <c r="J105" s="13"/>
      <c r="K105" s="26" t="str">
        <f t="shared" si="32"/>
        <v>—</v>
      </c>
      <c r="L105" s="13"/>
      <c r="M105" s="13"/>
      <c r="N105" s="26" t="str">
        <f t="shared" si="33"/>
        <v>—</v>
      </c>
      <c r="O105" s="13"/>
      <c r="P105" s="13"/>
      <c r="Q105" s="26" t="str">
        <f t="shared" si="34"/>
        <v>—</v>
      </c>
      <c r="R105" s="39">
        <f t="shared" si="35"/>
        <v>0</v>
      </c>
      <c r="S105" s="28"/>
      <c r="T105" s="28"/>
    </row>
    <row r="106" spans="1:20" ht="19.5" customHeight="1" x14ac:dyDescent="0.25">
      <c r="A106" s="73" t="s">
        <v>159</v>
      </c>
      <c r="B106" s="57"/>
    </row>
    <row r="107" spans="1:20" ht="18" customHeight="1" x14ac:dyDescent="0.25">
      <c r="A107" s="74" t="s">
        <v>160</v>
      </c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7"/>
    </row>
    <row r="108" spans="1:20" ht="15.75" customHeight="1" x14ac:dyDescent="0.25">
      <c r="A108" s="77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</row>
    <row r="109" spans="1:20" ht="15.75" customHeight="1" x14ac:dyDescent="0.25">
      <c r="A109" s="41" t="s">
        <v>97</v>
      </c>
      <c r="B109" s="42"/>
      <c r="C109" s="43" t="s">
        <v>98</v>
      </c>
      <c r="D109" s="44"/>
      <c r="E109" s="43" t="s">
        <v>99</v>
      </c>
      <c r="F109" s="44"/>
      <c r="G109" s="43" t="s">
        <v>100</v>
      </c>
      <c r="H109" s="44" t="s">
        <v>302</v>
      </c>
      <c r="I109" s="43" t="s">
        <v>102</v>
      </c>
      <c r="J109" s="44"/>
      <c r="K109" s="43" t="s">
        <v>103</v>
      </c>
      <c r="L109" s="44"/>
      <c r="M109" s="43" t="s">
        <v>104</v>
      </c>
      <c r="N109" s="44"/>
      <c r="O109" s="43" t="s">
        <v>105</v>
      </c>
      <c r="P109" s="44"/>
    </row>
    <row r="110" spans="1:20" ht="35.25" customHeight="1" x14ac:dyDescent="0.25">
      <c r="A110" s="45" t="s">
        <v>303</v>
      </c>
      <c r="B110" s="45" t="s">
        <v>107</v>
      </c>
      <c r="C110" s="46" t="s">
        <v>108</v>
      </c>
      <c r="D110" s="46" t="s">
        <v>109</v>
      </c>
      <c r="E110" s="46" t="s">
        <v>110</v>
      </c>
      <c r="F110" s="46" t="s">
        <v>111</v>
      </c>
      <c r="G110" s="46" t="s">
        <v>112</v>
      </c>
      <c r="H110" s="46" t="s">
        <v>113</v>
      </c>
      <c r="I110" s="46" t="s">
        <v>114</v>
      </c>
      <c r="J110" s="46" t="s">
        <v>115</v>
      </c>
      <c r="K110" s="46" t="s">
        <v>116</v>
      </c>
      <c r="L110" s="46" t="s">
        <v>117</v>
      </c>
      <c r="M110" s="46" t="s">
        <v>118</v>
      </c>
      <c r="N110" s="46" t="s">
        <v>119</v>
      </c>
      <c r="O110" s="46" t="s">
        <v>120</v>
      </c>
      <c r="P110" s="46" t="s">
        <v>121</v>
      </c>
      <c r="Q110" s="46" t="s">
        <v>122</v>
      </c>
      <c r="R110" s="46" t="s">
        <v>123</v>
      </c>
      <c r="S110" s="46" t="s">
        <v>124</v>
      </c>
      <c r="T110" s="46" t="s">
        <v>125</v>
      </c>
    </row>
    <row r="111" spans="1:20" ht="15.75" customHeight="1" x14ac:dyDescent="0.25">
      <c r="A111" s="47" t="s">
        <v>304</v>
      </c>
      <c r="B111" s="30" t="s">
        <v>305</v>
      </c>
      <c r="C111" s="13"/>
      <c r="D111" s="13"/>
      <c r="E111" s="26" t="str">
        <f t="shared" ref="E111:E126" si="36">IF(AND(ISNUMBER(C111),ISNUMBER(D111)),ROUND(C111*(1+D111/30),1),"—")</f>
        <v>—</v>
      </c>
      <c r="F111" s="13"/>
      <c r="G111" s="13"/>
      <c r="H111" s="26" t="str">
        <f t="shared" ref="H111:H126" si="37">IF(AND(ISNUMBER(F111),ISNUMBER(G111)),ROUND(F111*(1+G111/30),1),"—")</f>
        <v>—</v>
      </c>
      <c r="I111" s="13"/>
      <c r="J111" s="13"/>
      <c r="K111" s="26" t="str">
        <f t="shared" ref="K111:K126" si="38">IF(AND(ISNUMBER(I111),ISNUMBER(J111)),ROUND(I111*(1+J111/30),1),"—")</f>
        <v>—</v>
      </c>
      <c r="L111" s="13"/>
      <c r="M111" s="13"/>
      <c r="N111" s="26" t="str">
        <f t="shared" ref="N111:N126" si="39">IF(AND(ISNUMBER(L111),ISNUMBER(M111)),ROUND(L111*(1+M111/30),1),"—")</f>
        <v>—</v>
      </c>
      <c r="O111" s="13"/>
      <c r="P111" s="13"/>
      <c r="Q111" s="26" t="str">
        <f t="shared" ref="Q111:Q126" si="40">IF(AND(ISNUMBER(O111),ISNUMBER(P111)),ROUND(O111*(1+P111/30),1),"—")</f>
        <v>—</v>
      </c>
      <c r="R111" s="48">
        <f t="shared" ref="R111:R126" si="41">IFERROR(MAX(IFERROR(VALUE(E111),0),IFERROR(VALUE(H111),0),IFERROR(VALUE(K111),0),IFERROR(VALUE(N111),0),IFERROR(VALUE(Q111),0)),"—")</f>
        <v>0</v>
      </c>
      <c r="S111" s="28"/>
      <c r="T111" s="28"/>
    </row>
    <row r="112" spans="1:20" ht="15.75" customHeight="1" x14ac:dyDescent="0.25">
      <c r="A112" s="49" t="s">
        <v>306</v>
      </c>
      <c r="B112" s="50" t="s">
        <v>307</v>
      </c>
      <c r="C112" s="13"/>
      <c r="D112" s="13"/>
      <c r="E112" s="26" t="str">
        <f t="shared" si="36"/>
        <v>—</v>
      </c>
      <c r="F112" s="13"/>
      <c r="G112" s="13"/>
      <c r="H112" s="26" t="str">
        <f t="shared" si="37"/>
        <v>—</v>
      </c>
      <c r="I112" s="13"/>
      <c r="J112" s="13"/>
      <c r="K112" s="26" t="str">
        <f t="shared" si="38"/>
        <v>—</v>
      </c>
      <c r="L112" s="13"/>
      <c r="M112" s="13"/>
      <c r="N112" s="26" t="str">
        <f t="shared" si="39"/>
        <v>—</v>
      </c>
      <c r="O112" s="13"/>
      <c r="P112" s="13"/>
      <c r="Q112" s="26" t="str">
        <f t="shared" si="40"/>
        <v>—</v>
      </c>
      <c r="R112" s="48">
        <f t="shared" si="41"/>
        <v>0</v>
      </c>
      <c r="S112" s="28"/>
      <c r="T112" s="28"/>
    </row>
    <row r="113" spans="1:20" ht="15.75" customHeight="1" x14ac:dyDescent="0.25">
      <c r="A113" s="47" t="s">
        <v>308</v>
      </c>
      <c r="B113" s="30" t="s">
        <v>309</v>
      </c>
      <c r="C113" s="13"/>
      <c r="D113" s="13"/>
      <c r="E113" s="26" t="str">
        <f t="shared" si="36"/>
        <v>—</v>
      </c>
      <c r="F113" s="13"/>
      <c r="G113" s="13"/>
      <c r="H113" s="26" t="str">
        <f t="shared" si="37"/>
        <v>—</v>
      </c>
      <c r="I113" s="13"/>
      <c r="J113" s="13"/>
      <c r="K113" s="26" t="str">
        <f t="shared" si="38"/>
        <v>—</v>
      </c>
      <c r="L113" s="13"/>
      <c r="M113" s="13"/>
      <c r="N113" s="26" t="str">
        <f t="shared" si="39"/>
        <v>—</v>
      </c>
      <c r="O113" s="13"/>
      <c r="P113" s="13"/>
      <c r="Q113" s="26" t="str">
        <f t="shared" si="40"/>
        <v>—</v>
      </c>
      <c r="R113" s="48">
        <f t="shared" si="41"/>
        <v>0</v>
      </c>
      <c r="S113" s="28"/>
      <c r="T113" s="28"/>
    </row>
    <row r="114" spans="1:20" ht="15.75" customHeight="1" x14ac:dyDescent="0.25">
      <c r="A114" s="49" t="s">
        <v>310</v>
      </c>
      <c r="B114" s="50" t="s">
        <v>311</v>
      </c>
      <c r="C114" s="13"/>
      <c r="D114" s="13"/>
      <c r="E114" s="26" t="str">
        <f t="shared" si="36"/>
        <v>—</v>
      </c>
      <c r="F114" s="13"/>
      <c r="G114" s="13"/>
      <c r="H114" s="26" t="str">
        <f t="shared" si="37"/>
        <v>—</v>
      </c>
      <c r="I114" s="13"/>
      <c r="J114" s="13"/>
      <c r="K114" s="26" t="str">
        <f t="shared" si="38"/>
        <v>—</v>
      </c>
      <c r="L114" s="13"/>
      <c r="M114" s="13"/>
      <c r="N114" s="26" t="str">
        <f t="shared" si="39"/>
        <v>—</v>
      </c>
      <c r="O114" s="13"/>
      <c r="P114" s="13"/>
      <c r="Q114" s="26" t="str">
        <f t="shared" si="40"/>
        <v>—</v>
      </c>
      <c r="R114" s="48">
        <f t="shared" si="41"/>
        <v>0</v>
      </c>
      <c r="S114" s="28"/>
      <c r="T114" s="28"/>
    </row>
    <row r="115" spans="1:20" ht="15.75" customHeight="1" x14ac:dyDescent="0.25">
      <c r="A115" s="47" t="s">
        <v>312</v>
      </c>
      <c r="B115" s="30" t="s">
        <v>313</v>
      </c>
      <c r="C115" s="13"/>
      <c r="D115" s="13"/>
      <c r="E115" s="26" t="str">
        <f t="shared" si="36"/>
        <v>—</v>
      </c>
      <c r="F115" s="13"/>
      <c r="G115" s="13"/>
      <c r="H115" s="26" t="str">
        <f t="shared" si="37"/>
        <v>—</v>
      </c>
      <c r="I115" s="13"/>
      <c r="J115" s="13"/>
      <c r="K115" s="26" t="str">
        <f t="shared" si="38"/>
        <v>—</v>
      </c>
      <c r="L115" s="13"/>
      <c r="M115" s="13"/>
      <c r="N115" s="26" t="str">
        <f t="shared" si="39"/>
        <v>—</v>
      </c>
      <c r="O115" s="13"/>
      <c r="P115" s="13"/>
      <c r="Q115" s="26" t="str">
        <f t="shared" si="40"/>
        <v>—</v>
      </c>
      <c r="R115" s="48">
        <f t="shared" si="41"/>
        <v>0</v>
      </c>
      <c r="S115" s="28" t="s">
        <v>136</v>
      </c>
      <c r="T115" s="28" t="s">
        <v>199</v>
      </c>
    </row>
    <row r="116" spans="1:20" ht="15.75" customHeight="1" x14ac:dyDescent="0.25">
      <c r="A116" s="49" t="s">
        <v>314</v>
      </c>
      <c r="B116" s="50" t="s">
        <v>315</v>
      </c>
      <c r="C116" s="13"/>
      <c r="D116" s="13"/>
      <c r="E116" s="26" t="str">
        <f t="shared" si="36"/>
        <v>—</v>
      </c>
      <c r="F116" s="13"/>
      <c r="G116" s="13"/>
      <c r="H116" s="26" t="str">
        <f t="shared" si="37"/>
        <v>—</v>
      </c>
      <c r="I116" s="13"/>
      <c r="J116" s="13"/>
      <c r="K116" s="26" t="str">
        <f t="shared" si="38"/>
        <v>—</v>
      </c>
      <c r="L116" s="13"/>
      <c r="M116" s="13"/>
      <c r="N116" s="26" t="str">
        <f t="shared" si="39"/>
        <v>—</v>
      </c>
      <c r="O116" s="13"/>
      <c r="P116" s="13"/>
      <c r="Q116" s="26" t="str">
        <f t="shared" si="40"/>
        <v>—</v>
      </c>
      <c r="R116" s="48">
        <f t="shared" si="41"/>
        <v>0</v>
      </c>
      <c r="S116" s="28" t="s">
        <v>136</v>
      </c>
      <c r="T116" s="28" t="s">
        <v>199</v>
      </c>
    </row>
    <row r="117" spans="1:20" ht="15.75" customHeight="1" x14ac:dyDescent="0.25">
      <c r="A117" s="47" t="s">
        <v>316</v>
      </c>
      <c r="B117" s="30" t="s">
        <v>317</v>
      </c>
      <c r="C117" s="13"/>
      <c r="D117" s="13"/>
      <c r="E117" s="26" t="str">
        <f t="shared" si="36"/>
        <v>—</v>
      </c>
      <c r="F117" s="13"/>
      <c r="G117" s="13"/>
      <c r="H117" s="26" t="str">
        <f t="shared" si="37"/>
        <v>—</v>
      </c>
      <c r="I117" s="13"/>
      <c r="J117" s="13"/>
      <c r="K117" s="26" t="str">
        <f t="shared" si="38"/>
        <v>—</v>
      </c>
      <c r="L117" s="13"/>
      <c r="M117" s="13"/>
      <c r="N117" s="26" t="str">
        <f t="shared" si="39"/>
        <v>—</v>
      </c>
      <c r="O117" s="13"/>
      <c r="P117" s="13"/>
      <c r="Q117" s="26" t="str">
        <f t="shared" si="40"/>
        <v>—</v>
      </c>
      <c r="R117" s="48">
        <f t="shared" si="41"/>
        <v>0</v>
      </c>
      <c r="S117" s="28" t="s">
        <v>136</v>
      </c>
      <c r="T117" s="28" t="s">
        <v>318</v>
      </c>
    </row>
    <row r="118" spans="1:20" ht="15.75" customHeight="1" x14ac:dyDescent="0.25">
      <c r="A118" s="49" t="s">
        <v>319</v>
      </c>
      <c r="B118" s="50" t="s">
        <v>320</v>
      </c>
      <c r="C118" s="13"/>
      <c r="D118" s="13"/>
      <c r="E118" s="26" t="str">
        <f t="shared" si="36"/>
        <v>—</v>
      </c>
      <c r="F118" s="13"/>
      <c r="G118" s="13"/>
      <c r="H118" s="26" t="str">
        <f t="shared" si="37"/>
        <v>—</v>
      </c>
      <c r="I118" s="13"/>
      <c r="J118" s="13"/>
      <c r="K118" s="26" t="str">
        <f t="shared" si="38"/>
        <v>—</v>
      </c>
      <c r="L118" s="13"/>
      <c r="M118" s="13"/>
      <c r="N118" s="26" t="str">
        <f t="shared" si="39"/>
        <v>—</v>
      </c>
      <c r="O118" s="13"/>
      <c r="P118" s="13"/>
      <c r="Q118" s="26" t="str">
        <f t="shared" si="40"/>
        <v>—</v>
      </c>
      <c r="R118" s="48">
        <f t="shared" si="41"/>
        <v>0</v>
      </c>
      <c r="S118" s="28" t="s">
        <v>136</v>
      </c>
      <c r="T118" s="28" t="s">
        <v>199</v>
      </c>
    </row>
    <row r="119" spans="1:20" ht="15.75" customHeight="1" x14ac:dyDescent="0.25">
      <c r="A119" s="47" t="s">
        <v>321</v>
      </c>
      <c r="B119" s="30" t="s">
        <v>322</v>
      </c>
      <c r="C119" s="13"/>
      <c r="D119" s="13"/>
      <c r="E119" s="26" t="str">
        <f t="shared" si="36"/>
        <v>—</v>
      </c>
      <c r="F119" s="13"/>
      <c r="G119" s="13"/>
      <c r="H119" s="26" t="str">
        <f t="shared" si="37"/>
        <v>—</v>
      </c>
      <c r="I119" s="13"/>
      <c r="J119" s="13"/>
      <c r="K119" s="26" t="str">
        <f t="shared" si="38"/>
        <v>—</v>
      </c>
      <c r="L119" s="13"/>
      <c r="M119" s="13"/>
      <c r="N119" s="26" t="str">
        <f t="shared" si="39"/>
        <v>—</v>
      </c>
      <c r="O119" s="13"/>
      <c r="P119" s="13"/>
      <c r="Q119" s="26" t="str">
        <f t="shared" si="40"/>
        <v>—</v>
      </c>
      <c r="R119" s="48">
        <f t="shared" si="41"/>
        <v>0</v>
      </c>
      <c r="S119" s="28" t="s">
        <v>136</v>
      </c>
      <c r="T119" s="28" t="s">
        <v>140</v>
      </c>
    </row>
    <row r="120" spans="1:20" ht="15.75" customHeight="1" x14ac:dyDescent="0.25">
      <c r="A120" s="49" t="s">
        <v>323</v>
      </c>
      <c r="B120" s="50" t="s">
        <v>324</v>
      </c>
      <c r="C120" s="13"/>
      <c r="D120" s="13"/>
      <c r="E120" s="26" t="str">
        <f t="shared" si="36"/>
        <v>—</v>
      </c>
      <c r="F120" s="13"/>
      <c r="G120" s="13"/>
      <c r="H120" s="26" t="str">
        <f t="shared" si="37"/>
        <v>—</v>
      </c>
      <c r="I120" s="13"/>
      <c r="J120" s="13"/>
      <c r="K120" s="26" t="str">
        <f t="shared" si="38"/>
        <v>—</v>
      </c>
      <c r="L120" s="13"/>
      <c r="M120" s="13"/>
      <c r="N120" s="26" t="str">
        <f t="shared" si="39"/>
        <v>—</v>
      </c>
      <c r="O120" s="13"/>
      <c r="P120" s="13"/>
      <c r="Q120" s="26" t="str">
        <f t="shared" si="40"/>
        <v>—</v>
      </c>
      <c r="R120" s="48">
        <f t="shared" si="41"/>
        <v>0</v>
      </c>
      <c r="S120" s="28" t="s">
        <v>136</v>
      </c>
      <c r="T120" s="28" t="s">
        <v>196</v>
      </c>
    </row>
    <row r="121" spans="1:20" ht="15.75" customHeight="1" x14ac:dyDescent="0.25">
      <c r="A121" s="47" t="s">
        <v>325</v>
      </c>
      <c r="B121" s="30" t="s">
        <v>326</v>
      </c>
      <c r="C121" s="13"/>
      <c r="D121" s="13"/>
      <c r="E121" s="26" t="str">
        <f t="shared" si="36"/>
        <v>—</v>
      </c>
      <c r="F121" s="13"/>
      <c r="G121" s="13"/>
      <c r="H121" s="26" t="str">
        <f t="shared" si="37"/>
        <v>—</v>
      </c>
      <c r="I121" s="13"/>
      <c r="J121" s="13"/>
      <c r="K121" s="26" t="str">
        <f t="shared" si="38"/>
        <v>—</v>
      </c>
      <c r="L121" s="13"/>
      <c r="M121" s="13"/>
      <c r="N121" s="26" t="str">
        <f t="shared" si="39"/>
        <v>—</v>
      </c>
      <c r="O121" s="13"/>
      <c r="P121" s="13"/>
      <c r="Q121" s="26" t="str">
        <f t="shared" si="40"/>
        <v>—</v>
      </c>
      <c r="R121" s="48">
        <f t="shared" si="41"/>
        <v>0</v>
      </c>
      <c r="S121" s="28" t="s">
        <v>136</v>
      </c>
      <c r="T121" s="28" t="s">
        <v>283</v>
      </c>
    </row>
    <row r="122" spans="1:20" ht="15.75" customHeight="1" x14ac:dyDescent="0.25">
      <c r="A122" s="49" t="s">
        <v>327</v>
      </c>
      <c r="B122" s="50" t="s">
        <v>328</v>
      </c>
      <c r="C122" s="13"/>
      <c r="D122" s="13"/>
      <c r="E122" s="26" t="str">
        <f t="shared" si="36"/>
        <v>—</v>
      </c>
      <c r="F122" s="13"/>
      <c r="G122" s="13"/>
      <c r="H122" s="26" t="str">
        <f t="shared" si="37"/>
        <v>—</v>
      </c>
      <c r="I122" s="13"/>
      <c r="J122" s="13"/>
      <c r="K122" s="26" t="str">
        <f t="shared" si="38"/>
        <v>—</v>
      </c>
      <c r="L122" s="13"/>
      <c r="M122" s="13"/>
      <c r="N122" s="26" t="str">
        <f t="shared" si="39"/>
        <v>—</v>
      </c>
      <c r="O122" s="13"/>
      <c r="P122" s="13"/>
      <c r="Q122" s="26" t="str">
        <f t="shared" si="40"/>
        <v>—</v>
      </c>
      <c r="R122" s="48">
        <f t="shared" si="41"/>
        <v>0</v>
      </c>
      <c r="S122" s="28" t="s">
        <v>136</v>
      </c>
      <c r="T122" s="28" t="s">
        <v>283</v>
      </c>
    </row>
    <row r="123" spans="1:20" ht="15.75" customHeight="1" x14ac:dyDescent="0.25">
      <c r="A123" s="47" t="s">
        <v>329</v>
      </c>
      <c r="B123" s="30" t="s">
        <v>198</v>
      </c>
      <c r="C123" s="13"/>
      <c r="D123" s="13"/>
      <c r="E123" s="26" t="str">
        <f t="shared" si="36"/>
        <v>—</v>
      </c>
      <c r="F123" s="13"/>
      <c r="G123" s="13"/>
      <c r="H123" s="26" t="str">
        <f t="shared" si="37"/>
        <v>—</v>
      </c>
      <c r="I123" s="13"/>
      <c r="J123" s="13"/>
      <c r="K123" s="26" t="str">
        <f t="shared" si="38"/>
        <v>—</v>
      </c>
      <c r="L123" s="13"/>
      <c r="M123" s="13"/>
      <c r="N123" s="26" t="str">
        <f t="shared" si="39"/>
        <v>—</v>
      </c>
      <c r="O123" s="13"/>
      <c r="P123" s="13"/>
      <c r="Q123" s="26" t="str">
        <f t="shared" si="40"/>
        <v>—</v>
      </c>
      <c r="R123" s="48">
        <f t="shared" si="41"/>
        <v>0</v>
      </c>
      <c r="S123" s="28" t="s">
        <v>136</v>
      </c>
      <c r="T123" s="28" t="s">
        <v>176</v>
      </c>
    </row>
    <row r="124" spans="1:20" ht="15.75" customHeight="1" x14ac:dyDescent="0.25">
      <c r="A124" s="49" t="s">
        <v>330</v>
      </c>
      <c r="B124" s="50" t="s">
        <v>265</v>
      </c>
      <c r="C124" s="13"/>
      <c r="D124" s="13"/>
      <c r="E124" s="26" t="str">
        <f t="shared" si="36"/>
        <v>—</v>
      </c>
      <c r="F124" s="13"/>
      <c r="G124" s="13"/>
      <c r="H124" s="26" t="str">
        <f t="shared" si="37"/>
        <v>—</v>
      </c>
      <c r="I124" s="13"/>
      <c r="J124" s="13"/>
      <c r="K124" s="26" t="str">
        <f t="shared" si="38"/>
        <v>—</v>
      </c>
      <c r="L124" s="13"/>
      <c r="M124" s="13"/>
      <c r="N124" s="26" t="str">
        <f t="shared" si="39"/>
        <v>—</v>
      </c>
      <c r="O124" s="13"/>
      <c r="P124" s="13"/>
      <c r="Q124" s="26" t="str">
        <f t="shared" si="40"/>
        <v>—</v>
      </c>
      <c r="R124" s="48">
        <f t="shared" si="41"/>
        <v>0</v>
      </c>
      <c r="S124" s="28" t="s">
        <v>136</v>
      </c>
      <c r="T124" s="28" t="s">
        <v>196</v>
      </c>
    </row>
    <row r="125" spans="1:20" ht="15.75" customHeight="1" x14ac:dyDescent="0.25">
      <c r="A125" s="47" t="s">
        <v>331</v>
      </c>
      <c r="B125" s="30" t="s">
        <v>332</v>
      </c>
      <c r="C125" s="13"/>
      <c r="D125" s="13"/>
      <c r="E125" s="26" t="str">
        <f t="shared" si="36"/>
        <v>—</v>
      </c>
      <c r="F125" s="13"/>
      <c r="G125" s="13"/>
      <c r="H125" s="26" t="str">
        <f t="shared" si="37"/>
        <v>—</v>
      </c>
      <c r="I125" s="13"/>
      <c r="J125" s="13"/>
      <c r="K125" s="26" t="str">
        <f t="shared" si="38"/>
        <v>—</v>
      </c>
      <c r="L125" s="13"/>
      <c r="M125" s="13"/>
      <c r="N125" s="26" t="str">
        <f t="shared" si="39"/>
        <v>—</v>
      </c>
      <c r="O125" s="13"/>
      <c r="P125" s="13"/>
      <c r="Q125" s="26" t="str">
        <f t="shared" si="40"/>
        <v>—</v>
      </c>
      <c r="R125" s="48">
        <f t="shared" si="41"/>
        <v>0</v>
      </c>
      <c r="S125" s="28" t="s">
        <v>136</v>
      </c>
      <c r="T125" s="28" t="s">
        <v>333</v>
      </c>
    </row>
    <row r="126" spans="1:20" ht="15.75" customHeight="1" x14ac:dyDescent="0.25">
      <c r="A126" s="49" t="s">
        <v>334</v>
      </c>
      <c r="B126" s="50" t="s">
        <v>230</v>
      </c>
      <c r="C126" s="13"/>
      <c r="D126" s="13"/>
      <c r="E126" s="26" t="str">
        <f t="shared" si="36"/>
        <v>—</v>
      </c>
      <c r="F126" s="13"/>
      <c r="G126" s="13"/>
      <c r="H126" s="26" t="str">
        <f t="shared" si="37"/>
        <v>—</v>
      </c>
      <c r="I126" s="13"/>
      <c r="J126" s="13"/>
      <c r="K126" s="26" t="str">
        <f t="shared" si="38"/>
        <v>—</v>
      </c>
      <c r="L126" s="13"/>
      <c r="M126" s="13"/>
      <c r="N126" s="26" t="str">
        <f t="shared" si="39"/>
        <v>—</v>
      </c>
      <c r="O126" s="13"/>
      <c r="P126" s="13"/>
      <c r="Q126" s="26" t="str">
        <f t="shared" si="40"/>
        <v>—</v>
      </c>
      <c r="R126" s="48">
        <f t="shared" si="41"/>
        <v>0</v>
      </c>
      <c r="S126" s="28"/>
      <c r="T126" s="28"/>
    </row>
    <row r="127" spans="1:20" ht="20.25" customHeight="1" x14ac:dyDescent="0.25">
      <c r="A127" s="73" t="s">
        <v>159</v>
      </c>
      <c r="B127" s="57"/>
    </row>
    <row r="128" spans="1:20" ht="15.75" customHeight="1" x14ac:dyDescent="0.25">
      <c r="A128" s="74" t="s">
        <v>160</v>
      </c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7"/>
    </row>
    <row r="129" spans="1:20" ht="15.75" customHeight="1" x14ac:dyDescent="0.25">
      <c r="A129" s="77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</row>
    <row r="130" spans="1:20" ht="15.75" customHeight="1" x14ac:dyDescent="0.25">
      <c r="A130" s="17" t="s">
        <v>97</v>
      </c>
      <c r="B130" s="18"/>
      <c r="C130" s="19" t="s">
        <v>98</v>
      </c>
      <c r="D130" s="20"/>
      <c r="E130" s="19" t="s">
        <v>99</v>
      </c>
      <c r="F130" s="20"/>
      <c r="G130" s="19" t="s">
        <v>100</v>
      </c>
      <c r="H130" s="20"/>
      <c r="I130" s="19" t="s">
        <v>102</v>
      </c>
      <c r="J130" s="20"/>
      <c r="K130" s="19" t="s">
        <v>103</v>
      </c>
      <c r="L130" s="20"/>
      <c r="M130" s="19" t="s">
        <v>104</v>
      </c>
      <c r="N130" s="20"/>
      <c r="O130" s="19" t="s">
        <v>105</v>
      </c>
      <c r="P130" s="20"/>
    </row>
    <row r="131" spans="1:20" ht="15.75" customHeight="1" x14ac:dyDescent="0.25">
      <c r="A131" s="21" t="s">
        <v>106</v>
      </c>
      <c r="B131" s="22" t="s">
        <v>107</v>
      </c>
      <c r="C131" s="23" t="s">
        <v>108</v>
      </c>
      <c r="D131" s="23" t="s">
        <v>109</v>
      </c>
      <c r="E131" s="23" t="s">
        <v>110</v>
      </c>
      <c r="F131" s="23" t="s">
        <v>111</v>
      </c>
      <c r="G131" s="23" t="s">
        <v>112</v>
      </c>
      <c r="H131" s="23" t="s">
        <v>113</v>
      </c>
      <c r="I131" s="23" t="s">
        <v>114</v>
      </c>
      <c r="J131" s="23" t="s">
        <v>115</v>
      </c>
      <c r="K131" s="23" t="s">
        <v>116</v>
      </c>
      <c r="L131" s="23" t="s">
        <v>117</v>
      </c>
      <c r="M131" s="23" t="s">
        <v>118</v>
      </c>
      <c r="N131" s="23" t="s">
        <v>119</v>
      </c>
      <c r="O131" s="23" t="s">
        <v>120</v>
      </c>
      <c r="P131" s="23" t="s">
        <v>121</v>
      </c>
      <c r="Q131" s="23" t="s">
        <v>122</v>
      </c>
      <c r="R131" s="23" t="s">
        <v>123</v>
      </c>
      <c r="S131" s="23" t="s">
        <v>124</v>
      </c>
      <c r="T131" s="23" t="s">
        <v>125</v>
      </c>
    </row>
    <row r="132" spans="1:20" ht="15.75" customHeight="1" x14ac:dyDescent="0.25">
      <c r="A132" s="24" t="s">
        <v>126</v>
      </c>
      <c r="B132" s="25" t="s">
        <v>192</v>
      </c>
      <c r="C132" s="13"/>
      <c r="D132" s="13"/>
      <c r="E132" s="26" t="str">
        <f t="shared" ref="E132:E147" si="42">IF(AND(ISNUMBER(C132),ISNUMBER(D132)),ROUND(C132*(1+D132/30),1),"—")</f>
        <v>—</v>
      </c>
      <c r="F132" s="13"/>
      <c r="G132" s="13"/>
      <c r="H132" s="26" t="str">
        <f t="shared" ref="H132:H147" si="43">IF(AND(ISNUMBER(F132),ISNUMBER(G132)),ROUND(F132*(1+G132/30),1),"—")</f>
        <v>—</v>
      </c>
      <c r="I132" s="13"/>
      <c r="J132" s="13"/>
      <c r="K132" s="26" t="str">
        <f t="shared" ref="K132:K147" si="44">IF(AND(ISNUMBER(I132),ISNUMBER(J132)),ROUND(I132*(1+J132/30),1),"—")</f>
        <v>—</v>
      </c>
      <c r="L132" s="13"/>
      <c r="M132" s="13"/>
      <c r="N132" s="26" t="str">
        <f t="shared" ref="N132:N147" si="45">IF(AND(ISNUMBER(L132),ISNUMBER(M132)),ROUND(L132*(1+M132/30),1),"—")</f>
        <v>—</v>
      </c>
      <c r="O132" s="13"/>
      <c r="P132" s="13"/>
      <c r="Q132" s="26" t="str">
        <f t="shared" ref="Q132:Q147" si="46">IF(AND(ISNUMBER(O132),ISNUMBER(P132)),ROUND(O132*(1+P132/30),1),"—")</f>
        <v>—</v>
      </c>
      <c r="R132" s="27">
        <f t="shared" ref="R132:R147" si="47">IFERROR(MAX(IFERROR(VALUE(E132),0),IFERROR(VALUE(H132),0),IFERROR(VALUE(K132),0),IFERROR(VALUE(N132),0),IFERROR(VALUE(Q132),0)),"—")</f>
        <v>0</v>
      </c>
      <c r="S132" s="28"/>
      <c r="T132" s="28"/>
    </row>
    <row r="133" spans="1:20" ht="15.75" customHeight="1" x14ac:dyDescent="0.25">
      <c r="A133" s="29" t="s">
        <v>128</v>
      </c>
      <c r="B133" s="30" t="s">
        <v>129</v>
      </c>
      <c r="C133" s="13"/>
      <c r="D133" s="13"/>
      <c r="E133" s="26" t="str">
        <f t="shared" si="42"/>
        <v>—</v>
      </c>
      <c r="F133" s="13"/>
      <c r="G133" s="13"/>
      <c r="H133" s="26" t="str">
        <f t="shared" si="43"/>
        <v>—</v>
      </c>
      <c r="I133" s="13"/>
      <c r="J133" s="13"/>
      <c r="K133" s="26" t="str">
        <f t="shared" si="44"/>
        <v>—</v>
      </c>
      <c r="L133" s="13"/>
      <c r="M133" s="13"/>
      <c r="N133" s="26" t="str">
        <f t="shared" si="45"/>
        <v>—</v>
      </c>
      <c r="O133" s="13"/>
      <c r="P133" s="13"/>
      <c r="Q133" s="26" t="str">
        <f t="shared" si="46"/>
        <v>—</v>
      </c>
      <c r="R133" s="27">
        <f t="shared" si="47"/>
        <v>0</v>
      </c>
      <c r="S133" s="28"/>
      <c r="T133" s="28"/>
    </row>
    <row r="134" spans="1:20" ht="15.75" customHeight="1" x14ac:dyDescent="0.25">
      <c r="A134" s="24" t="s">
        <v>130</v>
      </c>
      <c r="B134" s="25" t="s">
        <v>131</v>
      </c>
      <c r="C134" s="13"/>
      <c r="D134" s="13"/>
      <c r="E134" s="26" t="str">
        <f t="shared" si="42"/>
        <v>—</v>
      </c>
      <c r="F134" s="13"/>
      <c r="G134" s="13"/>
      <c r="H134" s="26" t="str">
        <f t="shared" si="43"/>
        <v>—</v>
      </c>
      <c r="I134" s="13"/>
      <c r="J134" s="13"/>
      <c r="K134" s="26" t="str">
        <f t="shared" si="44"/>
        <v>—</v>
      </c>
      <c r="L134" s="13"/>
      <c r="M134" s="13"/>
      <c r="N134" s="26" t="str">
        <f t="shared" si="45"/>
        <v>—</v>
      </c>
      <c r="O134" s="13"/>
      <c r="P134" s="13"/>
      <c r="Q134" s="26" t="str">
        <f t="shared" si="46"/>
        <v>—</v>
      </c>
      <c r="R134" s="27">
        <f t="shared" si="47"/>
        <v>0</v>
      </c>
      <c r="S134" s="28"/>
      <c r="T134" s="28"/>
    </row>
    <row r="135" spans="1:20" ht="15.75" customHeight="1" x14ac:dyDescent="0.25">
      <c r="A135" s="29" t="s">
        <v>132</v>
      </c>
      <c r="B135" s="30" t="s">
        <v>133</v>
      </c>
      <c r="C135" s="13">
        <v>2.5</v>
      </c>
      <c r="D135" s="13">
        <v>20</v>
      </c>
      <c r="E135" s="26">
        <f t="shared" si="42"/>
        <v>4.2</v>
      </c>
      <c r="F135" s="13"/>
      <c r="G135" s="13"/>
      <c r="H135" s="26" t="str">
        <f t="shared" si="43"/>
        <v>—</v>
      </c>
      <c r="I135" s="13"/>
      <c r="J135" s="13"/>
      <c r="K135" s="26" t="str">
        <f t="shared" si="44"/>
        <v>—</v>
      </c>
      <c r="L135" s="13"/>
      <c r="M135" s="13"/>
      <c r="N135" s="26" t="str">
        <f t="shared" si="45"/>
        <v>—</v>
      </c>
      <c r="O135" s="13"/>
      <c r="P135" s="13"/>
      <c r="Q135" s="26" t="str">
        <f t="shared" si="46"/>
        <v>—</v>
      </c>
      <c r="R135" s="27">
        <f t="shared" si="47"/>
        <v>4.2</v>
      </c>
      <c r="S135" s="28"/>
      <c r="T135" s="28"/>
    </row>
    <row r="136" spans="1:20" ht="15.75" customHeight="1" x14ac:dyDescent="0.25">
      <c r="A136" s="24" t="s">
        <v>134</v>
      </c>
      <c r="B136" s="25" t="s">
        <v>135</v>
      </c>
      <c r="C136" s="13">
        <v>10</v>
      </c>
      <c r="D136" s="13">
        <v>20</v>
      </c>
      <c r="E136" s="26">
        <f t="shared" si="42"/>
        <v>16.7</v>
      </c>
      <c r="F136" s="13">
        <v>10</v>
      </c>
      <c r="G136" s="13">
        <v>15</v>
      </c>
      <c r="H136" s="26">
        <f t="shared" si="43"/>
        <v>15</v>
      </c>
      <c r="I136" s="13">
        <v>10</v>
      </c>
      <c r="J136" s="13">
        <v>15</v>
      </c>
      <c r="K136" s="26">
        <f t="shared" si="44"/>
        <v>15</v>
      </c>
      <c r="L136" s="13"/>
      <c r="M136" s="13"/>
      <c r="N136" s="26" t="str">
        <f t="shared" si="45"/>
        <v>—</v>
      </c>
      <c r="O136" s="13"/>
      <c r="P136" s="13"/>
      <c r="Q136" s="26" t="str">
        <f t="shared" si="46"/>
        <v>—</v>
      </c>
      <c r="R136" s="27">
        <f t="shared" si="47"/>
        <v>16.7</v>
      </c>
      <c r="S136" s="28" t="s">
        <v>136</v>
      </c>
      <c r="T136" s="28" t="s">
        <v>171</v>
      </c>
    </row>
    <row r="137" spans="1:20" ht="15.75" customHeight="1" x14ac:dyDescent="0.25">
      <c r="A137" s="29" t="s">
        <v>138</v>
      </c>
      <c r="B137" s="30" t="s">
        <v>139</v>
      </c>
      <c r="C137" s="13">
        <v>10</v>
      </c>
      <c r="D137" s="13">
        <v>11</v>
      </c>
      <c r="E137" s="26">
        <f t="shared" si="42"/>
        <v>13.7</v>
      </c>
      <c r="F137" s="13">
        <v>10</v>
      </c>
      <c r="G137" s="13">
        <v>9</v>
      </c>
      <c r="H137" s="26">
        <f t="shared" si="43"/>
        <v>13</v>
      </c>
      <c r="I137" s="13">
        <v>10</v>
      </c>
      <c r="J137" s="13">
        <v>8</v>
      </c>
      <c r="K137" s="26">
        <f t="shared" si="44"/>
        <v>12.7</v>
      </c>
      <c r="L137" s="13"/>
      <c r="M137" s="13"/>
      <c r="N137" s="26" t="str">
        <f t="shared" si="45"/>
        <v>—</v>
      </c>
      <c r="O137" s="13"/>
      <c r="P137" s="13"/>
      <c r="Q137" s="26" t="str">
        <f t="shared" si="46"/>
        <v>—</v>
      </c>
      <c r="R137" s="27">
        <f t="shared" si="47"/>
        <v>13.7</v>
      </c>
      <c r="S137" s="28" t="s">
        <v>136</v>
      </c>
      <c r="T137" s="28" t="s">
        <v>176</v>
      </c>
    </row>
    <row r="138" spans="1:20" ht="15.75" customHeight="1" x14ac:dyDescent="0.25">
      <c r="A138" s="24" t="s">
        <v>141</v>
      </c>
      <c r="B138" s="25" t="s">
        <v>142</v>
      </c>
      <c r="C138" s="13">
        <v>7.5</v>
      </c>
      <c r="D138" s="13">
        <v>12</v>
      </c>
      <c r="E138" s="26">
        <f t="shared" si="42"/>
        <v>10.5</v>
      </c>
      <c r="F138" s="13">
        <v>7.5</v>
      </c>
      <c r="G138" s="13">
        <v>10</v>
      </c>
      <c r="H138" s="26">
        <f t="shared" si="43"/>
        <v>10</v>
      </c>
      <c r="I138" s="13">
        <v>10</v>
      </c>
      <c r="J138" s="13">
        <v>6</v>
      </c>
      <c r="K138" s="26">
        <f t="shared" si="44"/>
        <v>12</v>
      </c>
      <c r="L138" s="13"/>
      <c r="M138" s="13"/>
      <c r="N138" s="26" t="str">
        <f t="shared" si="45"/>
        <v>—</v>
      </c>
      <c r="O138" s="13"/>
      <c r="P138" s="13"/>
      <c r="Q138" s="26" t="str">
        <f t="shared" si="46"/>
        <v>—</v>
      </c>
      <c r="R138" s="27">
        <f t="shared" si="47"/>
        <v>12</v>
      </c>
      <c r="S138" s="28" t="s">
        <v>136</v>
      </c>
      <c r="T138" s="28" t="s">
        <v>137</v>
      </c>
    </row>
    <row r="139" spans="1:20" ht="15.75" customHeight="1" x14ac:dyDescent="0.25">
      <c r="A139" s="29" t="s">
        <v>143</v>
      </c>
      <c r="B139" s="30" t="s">
        <v>144</v>
      </c>
      <c r="C139" s="13">
        <v>10</v>
      </c>
      <c r="D139" s="13">
        <v>7</v>
      </c>
      <c r="E139" s="26">
        <f t="shared" si="42"/>
        <v>12.3</v>
      </c>
      <c r="F139" s="13">
        <v>10</v>
      </c>
      <c r="G139" s="13">
        <v>6</v>
      </c>
      <c r="H139" s="26">
        <f t="shared" si="43"/>
        <v>12</v>
      </c>
      <c r="I139" s="13">
        <v>10</v>
      </c>
      <c r="J139" s="13">
        <v>6</v>
      </c>
      <c r="K139" s="26">
        <f t="shared" si="44"/>
        <v>12</v>
      </c>
      <c r="L139" s="13"/>
      <c r="M139" s="13"/>
      <c r="N139" s="26" t="str">
        <f t="shared" si="45"/>
        <v>—</v>
      </c>
      <c r="O139" s="13"/>
      <c r="P139" s="13"/>
      <c r="Q139" s="26" t="str">
        <f t="shared" si="46"/>
        <v>—</v>
      </c>
      <c r="R139" s="27">
        <f t="shared" si="47"/>
        <v>12.3</v>
      </c>
      <c r="S139" s="28" t="s">
        <v>136</v>
      </c>
      <c r="T139" s="28" t="s">
        <v>137</v>
      </c>
    </row>
    <row r="140" spans="1:20" ht="15.75" customHeight="1" x14ac:dyDescent="0.25">
      <c r="A140" s="24" t="s">
        <v>145</v>
      </c>
      <c r="B140" s="25" t="s">
        <v>146</v>
      </c>
      <c r="C140" s="13">
        <v>15</v>
      </c>
      <c r="D140" s="13">
        <v>14</v>
      </c>
      <c r="E140" s="26">
        <f t="shared" si="42"/>
        <v>22</v>
      </c>
      <c r="F140" s="13">
        <v>20</v>
      </c>
      <c r="G140" s="13">
        <v>11</v>
      </c>
      <c r="H140" s="26">
        <f t="shared" si="43"/>
        <v>27.3</v>
      </c>
      <c r="I140" s="13">
        <v>20</v>
      </c>
      <c r="J140" s="13">
        <v>9</v>
      </c>
      <c r="K140" s="26">
        <f t="shared" si="44"/>
        <v>26</v>
      </c>
      <c r="L140" s="13"/>
      <c r="M140" s="13"/>
      <c r="N140" s="26" t="str">
        <f t="shared" si="45"/>
        <v>—</v>
      </c>
      <c r="O140" s="13"/>
      <c r="P140" s="13"/>
      <c r="Q140" s="26" t="str">
        <f t="shared" si="46"/>
        <v>—</v>
      </c>
      <c r="R140" s="27">
        <f t="shared" si="47"/>
        <v>27.3</v>
      </c>
      <c r="S140" s="28" t="s">
        <v>136</v>
      </c>
      <c r="T140" s="28" t="s">
        <v>140</v>
      </c>
    </row>
    <row r="141" spans="1:20" ht="15.75" customHeight="1" x14ac:dyDescent="0.25">
      <c r="A141" s="29" t="s">
        <v>147</v>
      </c>
      <c r="B141" s="30" t="s">
        <v>148</v>
      </c>
      <c r="C141" s="13">
        <v>20</v>
      </c>
      <c r="D141" s="13">
        <v>6</v>
      </c>
      <c r="E141" s="26">
        <f t="shared" si="42"/>
        <v>24</v>
      </c>
      <c r="F141" s="13">
        <v>20</v>
      </c>
      <c r="G141" s="13">
        <v>6</v>
      </c>
      <c r="H141" s="26">
        <f t="shared" si="43"/>
        <v>24</v>
      </c>
      <c r="I141" s="13">
        <v>20</v>
      </c>
      <c r="J141" s="13">
        <v>4</v>
      </c>
      <c r="K141" s="26">
        <f t="shared" si="44"/>
        <v>22.7</v>
      </c>
      <c r="L141" s="13"/>
      <c r="M141" s="13"/>
      <c r="N141" s="26" t="str">
        <f t="shared" si="45"/>
        <v>—</v>
      </c>
      <c r="O141" s="13"/>
      <c r="P141" s="13"/>
      <c r="Q141" s="26" t="str">
        <f t="shared" si="46"/>
        <v>—</v>
      </c>
      <c r="R141" s="27">
        <f t="shared" si="47"/>
        <v>24</v>
      </c>
      <c r="S141" s="28" t="s">
        <v>136</v>
      </c>
      <c r="T141" s="28" t="s">
        <v>140</v>
      </c>
    </row>
    <row r="142" spans="1:20" ht="15.75" customHeight="1" x14ac:dyDescent="0.25">
      <c r="A142" s="24" t="s">
        <v>149</v>
      </c>
      <c r="B142" s="25" t="s">
        <v>150</v>
      </c>
      <c r="C142" s="13">
        <v>15</v>
      </c>
      <c r="D142" s="13">
        <v>7</v>
      </c>
      <c r="E142" s="26">
        <f t="shared" si="42"/>
        <v>18.5</v>
      </c>
      <c r="F142" s="13">
        <v>15</v>
      </c>
      <c r="G142" s="13">
        <v>7</v>
      </c>
      <c r="H142" s="26">
        <f t="shared" si="43"/>
        <v>18.5</v>
      </c>
      <c r="I142" s="13">
        <v>15</v>
      </c>
      <c r="J142" s="13">
        <v>4</v>
      </c>
      <c r="K142" s="26">
        <f t="shared" si="44"/>
        <v>17</v>
      </c>
      <c r="L142" s="13"/>
      <c r="M142" s="13"/>
      <c r="N142" s="26" t="str">
        <f t="shared" si="45"/>
        <v>—</v>
      </c>
      <c r="O142" s="13"/>
      <c r="P142" s="13"/>
      <c r="Q142" s="26" t="str">
        <f t="shared" si="46"/>
        <v>—</v>
      </c>
      <c r="R142" s="27">
        <f t="shared" si="47"/>
        <v>18.5</v>
      </c>
      <c r="S142" s="28" t="s">
        <v>151</v>
      </c>
      <c r="T142" s="28" t="s">
        <v>140</v>
      </c>
    </row>
    <row r="143" spans="1:20" ht="15.75" customHeight="1" x14ac:dyDescent="0.25">
      <c r="A143" s="29" t="s">
        <v>152</v>
      </c>
      <c r="B143" s="30" t="s">
        <v>153</v>
      </c>
      <c r="C143" s="13"/>
      <c r="D143" s="13"/>
      <c r="E143" s="26" t="str">
        <f t="shared" si="42"/>
        <v>—</v>
      </c>
      <c r="F143" s="13"/>
      <c r="G143" s="13"/>
      <c r="H143" s="26" t="str">
        <f t="shared" si="43"/>
        <v>—</v>
      </c>
      <c r="I143" s="13"/>
      <c r="J143" s="13"/>
      <c r="K143" s="26" t="str">
        <f t="shared" si="44"/>
        <v>—</v>
      </c>
      <c r="L143" s="13"/>
      <c r="M143" s="13"/>
      <c r="N143" s="26" t="str">
        <f t="shared" si="45"/>
        <v>—</v>
      </c>
      <c r="O143" s="13"/>
      <c r="P143" s="13"/>
      <c r="Q143" s="26" t="str">
        <f t="shared" si="46"/>
        <v>—</v>
      </c>
      <c r="R143" s="27">
        <f t="shared" si="47"/>
        <v>0</v>
      </c>
      <c r="S143" s="28"/>
      <c r="T143" s="28"/>
    </row>
    <row r="144" spans="1:20" ht="15.75" customHeight="1" x14ac:dyDescent="0.25">
      <c r="A144" s="24" t="s">
        <v>154</v>
      </c>
      <c r="B144" s="25"/>
      <c r="C144" s="13"/>
      <c r="D144" s="13"/>
      <c r="E144" s="26" t="str">
        <f t="shared" si="42"/>
        <v>—</v>
      </c>
      <c r="F144" s="13"/>
      <c r="G144" s="13"/>
      <c r="H144" s="26" t="str">
        <f t="shared" si="43"/>
        <v>—</v>
      </c>
      <c r="I144" s="13"/>
      <c r="J144" s="13"/>
      <c r="K144" s="26" t="str">
        <f t="shared" si="44"/>
        <v>—</v>
      </c>
      <c r="L144" s="13"/>
      <c r="M144" s="13"/>
      <c r="N144" s="26" t="str">
        <f t="shared" si="45"/>
        <v>—</v>
      </c>
      <c r="O144" s="13"/>
      <c r="P144" s="13"/>
      <c r="Q144" s="26" t="str">
        <f t="shared" si="46"/>
        <v>—</v>
      </c>
      <c r="R144" s="27">
        <f t="shared" si="47"/>
        <v>0</v>
      </c>
      <c r="S144" s="28"/>
      <c r="T144" s="28"/>
    </row>
    <row r="145" spans="1:20" ht="15.75" customHeight="1" x14ac:dyDescent="0.25">
      <c r="A145" s="29" t="s">
        <v>155</v>
      </c>
      <c r="B145" s="30"/>
      <c r="C145" s="13"/>
      <c r="D145" s="13"/>
      <c r="E145" s="26" t="str">
        <f t="shared" si="42"/>
        <v>—</v>
      </c>
      <c r="F145" s="13"/>
      <c r="G145" s="13"/>
      <c r="H145" s="26" t="str">
        <f t="shared" si="43"/>
        <v>—</v>
      </c>
      <c r="I145" s="13"/>
      <c r="J145" s="13"/>
      <c r="K145" s="26" t="str">
        <f t="shared" si="44"/>
        <v>—</v>
      </c>
      <c r="L145" s="13"/>
      <c r="M145" s="13"/>
      <c r="N145" s="26" t="str">
        <f t="shared" si="45"/>
        <v>—</v>
      </c>
      <c r="O145" s="13"/>
      <c r="P145" s="13"/>
      <c r="Q145" s="26" t="str">
        <f t="shared" si="46"/>
        <v>—</v>
      </c>
      <c r="R145" s="27">
        <f t="shared" si="47"/>
        <v>0</v>
      </c>
      <c r="S145" s="28"/>
      <c r="T145" s="28"/>
    </row>
    <row r="146" spans="1:20" ht="15.75" customHeight="1" x14ac:dyDescent="0.25">
      <c r="A146" s="24" t="s">
        <v>156</v>
      </c>
      <c r="B146" s="25"/>
      <c r="C146" s="13"/>
      <c r="D146" s="13"/>
      <c r="E146" s="26" t="str">
        <f t="shared" si="42"/>
        <v>—</v>
      </c>
      <c r="F146" s="13"/>
      <c r="G146" s="13"/>
      <c r="H146" s="26" t="str">
        <f t="shared" si="43"/>
        <v>—</v>
      </c>
      <c r="I146" s="13"/>
      <c r="J146" s="13"/>
      <c r="K146" s="26" t="str">
        <f t="shared" si="44"/>
        <v>—</v>
      </c>
      <c r="L146" s="13"/>
      <c r="M146" s="13"/>
      <c r="N146" s="26" t="str">
        <f t="shared" si="45"/>
        <v>—</v>
      </c>
      <c r="O146" s="13"/>
      <c r="P146" s="13"/>
      <c r="Q146" s="26" t="str">
        <f t="shared" si="46"/>
        <v>—</v>
      </c>
      <c r="R146" s="27">
        <f t="shared" si="47"/>
        <v>0</v>
      </c>
      <c r="S146" s="28"/>
      <c r="T146" s="28"/>
    </row>
    <row r="147" spans="1:20" ht="15.75" customHeight="1" x14ac:dyDescent="0.25">
      <c r="A147" s="29" t="s">
        <v>157</v>
      </c>
      <c r="B147" s="30"/>
      <c r="C147" s="13"/>
      <c r="D147" s="13"/>
      <c r="E147" s="26" t="str">
        <f t="shared" si="42"/>
        <v>—</v>
      </c>
      <c r="F147" s="13"/>
      <c r="G147" s="13"/>
      <c r="H147" s="26" t="str">
        <f t="shared" si="43"/>
        <v>—</v>
      </c>
      <c r="I147" s="13"/>
      <c r="J147" s="13"/>
      <c r="K147" s="26" t="str">
        <f t="shared" si="44"/>
        <v>—</v>
      </c>
      <c r="L147" s="13"/>
      <c r="M147" s="13"/>
      <c r="N147" s="26" t="str">
        <f t="shared" si="45"/>
        <v>—</v>
      </c>
      <c r="O147" s="13"/>
      <c r="P147" s="13"/>
      <c r="Q147" s="26" t="str">
        <f t="shared" si="46"/>
        <v>—</v>
      </c>
      <c r="R147" s="27">
        <f t="shared" si="47"/>
        <v>0</v>
      </c>
      <c r="S147" s="28" t="s">
        <v>193</v>
      </c>
      <c r="T147" s="28" t="s">
        <v>194</v>
      </c>
    </row>
    <row r="148" spans="1:20" ht="15.75" customHeight="1" x14ac:dyDescent="0.25">
      <c r="A148" s="73" t="s">
        <v>159</v>
      </c>
      <c r="B148" s="57"/>
    </row>
    <row r="149" spans="1:20" ht="15.75" customHeight="1" x14ac:dyDescent="0.25">
      <c r="A149" s="74" t="s">
        <v>160</v>
      </c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7"/>
    </row>
    <row r="150" spans="1:20" ht="15.75" customHeight="1" x14ac:dyDescent="0.25">
      <c r="A150" s="6"/>
      <c r="B150" s="6"/>
    </row>
    <row r="151" spans="1:20" ht="15.75" customHeight="1" x14ac:dyDescent="0.25">
      <c r="A151" s="31" t="s">
        <v>97</v>
      </c>
      <c r="B151" s="32"/>
      <c r="C151" s="33" t="s">
        <v>98</v>
      </c>
      <c r="D151" s="34"/>
      <c r="E151" s="33" t="s">
        <v>99</v>
      </c>
      <c r="F151" s="34"/>
      <c r="G151" s="33" t="s">
        <v>100</v>
      </c>
      <c r="H151" s="34"/>
      <c r="I151" s="33" t="s">
        <v>102</v>
      </c>
      <c r="J151" s="34"/>
      <c r="K151" s="33" t="s">
        <v>103</v>
      </c>
      <c r="L151" s="34"/>
      <c r="M151" s="33" t="s">
        <v>104</v>
      </c>
      <c r="N151" s="34"/>
      <c r="O151" s="33" t="s">
        <v>105</v>
      </c>
      <c r="P151" s="34"/>
    </row>
    <row r="152" spans="1:20" ht="15.75" customHeight="1" x14ac:dyDescent="0.25">
      <c r="A152" s="35" t="s">
        <v>202</v>
      </c>
      <c r="B152" s="35" t="s">
        <v>107</v>
      </c>
      <c r="C152" s="36" t="s">
        <v>108</v>
      </c>
      <c r="D152" s="36" t="s">
        <v>109</v>
      </c>
      <c r="E152" s="36" t="s">
        <v>110</v>
      </c>
      <c r="F152" s="36" t="s">
        <v>111</v>
      </c>
      <c r="G152" s="36" t="s">
        <v>112</v>
      </c>
      <c r="H152" s="36" t="s">
        <v>113</v>
      </c>
      <c r="I152" s="36" t="s">
        <v>114</v>
      </c>
      <c r="J152" s="36" t="s">
        <v>115</v>
      </c>
      <c r="K152" s="36" t="s">
        <v>116</v>
      </c>
      <c r="L152" s="36" t="s">
        <v>117</v>
      </c>
      <c r="M152" s="36" t="s">
        <v>118</v>
      </c>
      <c r="N152" s="36" t="s">
        <v>119</v>
      </c>
      <c r="O152" s="36" t="s">
        <v>120</v>
      </c>
      <c r="P152" s="36" t="s">
        <v>121</v>
      </c>
      <c r="Q152" s="36" t="s">
        <v>122</v>
      </c>
      <c r="R152" s="36" t="s">
        <v>123</v>
      </c>
      <c r="S152" s="36" t="s">
        <v>124</v>
      </c>
      <c r="T152" s="36" t="s">
        <v>125</v>
      </c>
    </row>
    <row r="153" spans="1:20" ht="15.75" customHeight="1" x14ac:dyDescent="0.25">
      <c r="A153" s="37" t="s">
        <v>203</v>
      </c>
      <c r="B153" s="38" t="s">
        <v>204</v>
      </c>
      <c r="C153" s="13"/>
      <c r="D153" s="13"/>
      <c r="E153" s="26" t="str">
        <f t="shared" ref="E153:E163" si="48">IF(AND(ISNUMBER(C153),ISNUMBER(D153)),ROUND(C153*(1+D153/30),1),"—")</f>
        <v>—</v>
      </c>
      <c r="F153" s="13"/>
      <c r="G153" s="13"/>
      <c r="H153" s="26" t="str">
        <f t="shared" ref="H153:H163" si="49">IF(AND(ISNUMBER(F153),ISNUMBER(G153)),ROUND(F153*(1+G153/30),1),"—")</f>
        <v>—</v>
      </c>
      <c r="I153" s="13"/>
      <c r="J153" s="13"/>
      <c r="K153" s="26" t="str">
        <f t="shared" ref="K153:K163" si="50">IF(AND(ISNUMBER(I153),ISNUMBER(J153)),ROUND(I153*(1+J153/30),1),"—")</f>
        <v>—</v>
      </c>
      <c r="L153" s="13"/>
      <c r="M153" s="13"/>
      <c r="N153" s="26" t="str">
        <f t="shared" ref="N153:N163" si="51">IF(AND(ISNUMBER(L153),ISNUMBER(M153)),ROUND(L153*(1+M153/30),1),"—")</f>
        <v>—</v>
      </c>
      <c r="O153" s="13"/>
      <c r="P153" s="13"/>
      <c r="Q153" s="26" t="str">
        <f t="shared" ref="Q153:Q163" si="52">IF(AND(ISNUMBER(O153),ISNUMBER(P153)),ROUND(O153*(1+P153/30),1),"—")</f>
        <v>—</v>
      </c>
      <c r="R153" s="39">
        <f t="shared" ref="R153:R163" si="53">IFERROR(MAX(IFERROR(VALUE(E153),0),IFERROR(VALUE(H153),0),IFERROR(VALUE(K153),0),IFERROR(VALUE(N153),0),IFERROR(VALUE(Q153),0)),"—")</f>
        <v>0</v>
      </c>
      <c r="S153" s="28"/>
      <c r="T153" s="28"/>
    </row>
    <row r="154" spans="1:20" ht="15.75" customHeight="1" x14ac:dyDescent="0.25">
      <c r="A154" s="40" t="s">
        <v>205</v>
      </c>
      <c r="B154" s="30" t="s">
        <v>129</v>
      </c>
      <c r="C154" s="13"/>
      <c r="D154" s="13"/>
      <c r="E154" s="26" t="str">
        <f t="shared" si="48"/>
        <v>—</v>
      </c>
      <c r="F154" s="13"/>
      <c r="G154" s="13"/>
      <c r="H154" s="26" t="str">
        <f t="shared" si="49"/>
        <v>—</v>
      </c>
      <c r="I154" s="13"/>
      <c r="J154" s="13"/>
      <c r="K154" s="26" t="str">
        <f t="shared" si="50"/>
        <v>—</v>
      </c>
      <c r="L154" s="13"/>
      <c r="M154" s="13"/>
      <c r="N154" s="26" t="str">
        <f t="shared" si="51"/>
        <v>—</v>
      </c>
      <c r="O154" s="13"/>
      <c r="P154" s="13"/>
      <c r="Q154" s="26" t="str">
        <f t="shared" si="52"/>
        <v>—</v>
      </c>
      <c r="R154" s="39">
        <f t="shared" si="53"/>
        <v>0</v>
      </c>
      <c r="S154" s="28"/>
      <c r="T154" s="28"/>
    </row>
    <row r="155" spans="1:20" ht="15.75" customHeight="1" x14ac:dyDescent="0.25">
      <c r="A155" s="37" t="s">
        <v>206</v>
      </c>
      <c r="B155" s="38" t="s">
        <v>207</v>
      </c>
      <c r="C155" s="13"/>
      <c r="D155" s="13"/>
      <c r="E155" s="26" t="str">
        <f t="shared" si="48"/>
        <v>—</v>
      </c>
      <c r="F155" s="13"/>
      <c r="G155" s="13"/>
      <c r="H155" s="26" t="str">
        <f t="shared" si="49"/>
        <v>—</v>
      </c>
      <c r="I155" s="13"/>
      <c r="J155" s="13"/>
      <c r="K155" s="26" t="str">
        <f t="shared" si="50"/>
        <v>—</v>
      </c>
      <c r="L155" s="13"/>
      <c r="M155" s="13"/>
      <c r="N155" s="26" t="str">
        <f t="shared" si="51"/>
        <v>—</v>
      </c>
      <c r="O155" s="13"/>
      <c r="P155" s="13"/>
      <c r="Q155" s="26" t="str">
        <f t="shared" si="52"/>
        <v>—</v>
      </c>
      <c r="R155" s="39">
        <f t="shared" si="53"/>
        <v>0</v>
      </c>
      <c r="S155" s="28"/>
      <c r="T155" s="28"/>
    </row>
    <row r="156" spans="1:20" ht="15.75" customHeight="1" x14ac:dyDescent="0.25">
      <c r="A156" s="40" t="s">
        <v>208</v>
      </c>
      <c r="B156" s="30" t="s">
        <v>209</v>
      </c>
      <c r="C156" s="13"/>
      <c r="D156" s="13"/>
      <c r="E156" s="26" t="str">
        <f t="shared" si="48"/>
        <v>—</v>
      </c>
      <c r="F156" s="13"/>
      <c r="G156" s="13"/>
      <c r="H156" s="26" t="str">
        <f t="shared" si="49"/>
        <v>—</v>
      </c>
      <c r="I156" s="13"/>
      <c r="J156" s="13"/>
      <c r="K156" s="26" t="str">
        <f t="shared" si="50"/>
        <v>—</v>
      </c>
      <c r="L156" s="13"/>
      <c r="M156" s="13"/>
      <c r="N156" s="26" t="str">
        <f t="shared" si="51"/>
        <v>—</v>
      </c>
      <c r="O156" s="13"/>
      <c r="P156" s="13"/>
      <c r="Q156" s="26" t="str">
        <f t="shared" si="52"/>
        <v>—</v>
      </c>
      <c r="R156" s="39">
        <f t="shared" si="53"/>
        <v>0</v>
      </c>
      <c r="S156" s="28"/>
      <c r="T156" s="28"/>
    </row>
    <row r="157" spans="1:20" ht="15.75" customHeight="1" x14ac:dyDescent="0.25">
      <c r="A157" s="37" t="s">
        <v>210</v>
      </c>
      <c r="B157" s="38" t="s">
        <v>211</v>
      </c>
      <c r="C157" s="13"/>
      <c r="D157" s="13">
        <v>3</v>
      </c>
      <c r="E157" s="26" t="str">
        <f t="shared" si="48"/>
        <v>—</v>
      </c>
      <c r="F157" s="13"/>
      <c r="G157" s="13">
        <v>2</v>
      </c>
      <c r="H157" s="26" t="str">
        <f t="shared" si="49"/>
        <v>—</v>
      </c>
      <c r="I157" s="13"/>
      <c r="J157" s="13">
        <v>2</v>
      </c>
      <c r="K157" s="26" t="str">
        <f t="shared" si="50"/>
        <v>—</v>
      </c>
      <c r="L157" s="13"/>
      <c r="M157" s="13"/>
      <c r="N157" s="26" t="str">
        <f t="shared" si="51"/>
        <v>—</v>
      </c>
      <c r="O157" s="13"/>
      <c r="P157" s="13"/>
      <c r="Q157" s="26" t="str">
        <f t="shared" si="52"/>
        <v>—</v>
      </c>
      <c r="R157" s="39">
        <f t="shared" si="53"/>
        <v>0</v>
      </c>
      <c r="S157" s="28" t="s">
        <v>136</v>
      </c>
      <c r="T157" s="28" t="s">
        <v>212</v>
      </c>
    </row>
    <row r="158" spans="1:20" ht="15.75" customHeight="1" x14ac:dyDescent="0.25">
      <c r="A158" s="40" t="s">
        <v>213</v>
      </c>
      <c r="B158" s="30" t="s">
        <v>214</v>
      </c>
      <c r="C158" s="13">
        <v>7.5</v>
      </c>
      <c r="D158" s="13">
        <v>10</v>
      </c>
      <c r="E158" s="26">
        <f t="shared" si="48"/>
        <v>10</v>
      </c>
      <c r="F158" s="13">
        <v>10</v>
      </c>
      <c r="G158" s="13">
        <v>10</v>
      </c>
      <c r="H158" s="26">
        <f t="shared" si="49"/>
        <v>13.3</v>
      </c>
      <c r="I158" s="13">
        <v>10</v>
      </c>
      <c r="J158" s="13">
        <v>10</v>
      </c>
      <c r="K158" s="26">
        <f t="shared" si="50"/>
        <v>13.3</v>
      </c>
      <c r="L158" s="13">
        <v>10</v>
      </c>
      <c r="M158" s="13">
        <v>10</v>
      </c>
      <c r="N158" s="26">
        <f t="shared" si="51"/>
        <v>13.3</v>
      </c>
      <c r="O158" s="13"/>
      <c r="P158" s="13"/>
      <c r="Q158" s="26" t="str">
        <f t="shared" si="52"/>
        <v>—</v>
      </c>
      <c r="R158" s="39">
        <f t="shared" si="53"/>
        <v>13.3</v>
      </c>
      <c r="S158" s="28" t="s">
        <v>136</v>
      </c>
      <c r="T158" s="28" t="s">
        <v>199</v>
      </c>
    </row>
    <row r="159" spans="1:20" ht="15.75" customHeight="1" x14ac:dyDescent="0.25">
      <c r="A159" s="37" t="s">
        <v>215</v>
      </c>
      <c r="B159" s="38" t="s">
        <v>216</v>
      </c>
      <c r="C159" s="13">
        <v>25</v>
      </c>
      <c r="D159" s="13">
        <v>15</v>
      </c>
      <c r="E159" s="26">
        <f t="shared" si="48"/>
        <v>37.5</v>
      </c>
      <c r="F159" s="13">
        <v>30</v>
      </c>
      <c r="G159" s="13">
        <v>12</v>
      </c>
      <c r="H159" s="26">
        <f t="shared" si="49"/>
        <v>42</v>
      </c>
      <c r="I159" s="13">
        <v>30</v>
      </c>
      <c r="J159" s="13">
        <v>10</v>
      </c>
      <c r="K159" s="26">
        <f t="shared" si="50"/>
        <v>40</v>
      </c>
      <c r="L159" s="13"/>
      <c r="M159" s="13"/>
      <c r="N159" s="26" t="str">
        <f t="shared" si="51"/>
        <v>—</v>
      </c>
      <c r="O159" s="13"/>
      <c r="P159" s="13"/>
      <c r="Q159" s="26" t="str">
        <f t="shared" si="52"/>
        <v>—</v>
      </c>
      <c r="R159" s="39">
        <f t="shared" si="53"/>
        <v>42</v>
      </c>
      <c r="S159" s="28" t="s">
        <v>136</v>
      </c>
      <c r="T159" s="28" t="s">
        <v>199</v>
      </c>
    </row>
    <row r="160" spans="1:20" ht="15.75" customHeight="1" x14ac:dyDescent="0.25">
      <c r="A160" s="40" t="s">
        <v>217</v>
      </c>
      <c r="B160" s="30" t="s">
        <v>218</v>
      </c>
      <c r="C160" s="13">
        <v>10</v>
      </c>
      <c r="D160" s="13">
        <v>8</v>
      </c>
      <c r="E160" s="26">
        <f t="shared" si="48"/>
        <v>12.7</v>
      </c>
      <c r="F160" s="13">
        <v>10</v>
      </c>
      <c r="G160" s="13">
        <v>8</v>
      </c>
      <c r="H160" s="26">
        <f t="shared" si="49"/>
        <v>12.7</v>
      </c>
      <c r="I160" s="13">
        <v>10</v>
      </c>
      <c r="J160" s="13">
        <v>7</v>
      </c>
      <c r="K160" s="26">
        <f t="shared" si="50"/>
        <v>12.3</v>
      </c>
      <c r="L160" s="13"/>
      <c r="M160" s="13"/>
      <c r="N160" s="26" t="str">
        <f t="shared" si="51"/>
        <v>—</v>
      </c>
      <c r="O160" s="13"/>
      <c r="P160" s="13"/>
      <c r="Q160" s="26" t="str">
        <f t="shared" si="52"/>
        <v>—</v>
      </c>
      <c r="R160" s="39">
        <f t="shared" si="53"/>
        <v>12.7</v>
      </c>
      <c r="S160" s="28" t="s">
        <v>136</v>
      </c>
      <c r="T160" s="28" t="s">
        <v>140</v>
      </c>
    </row>
    <row r="161" spans="1:20" ht="15.75" customHeight="1" x14ac:dyDescent="0.25">
      <c r="A161" s="37" t="s">
        <v>219</v>
      </c>
      <c r="B161" s="38" t="s">
        <v>220</v>
      </c>
      <c r="C161" s="13">
        <v>10</v>
      </c>
      <c r="D161" s="13">
        <v>10</v>
      </c>
      <c r="E161" s="26">
        <f t="shared" si="48"/>
        <v>13.3</v>
      </c>
      <c r="F161" s="13">
        <v>10</v>
      </c>
      <c r="G161" s="13">
        <v>10</v>
      </c>
      <c r="H161" s="26">
        <f t="shared" si="49"/>
        <v>13.3</v>
      </c>
      <c r="I161" s="13">
        <v>10</v>
      </c>
      <c r="J161" s="13">
        <v>9</v>
      </c>
      <c r="K161" s="26">
        <f t="shared" si="50"/>
        <v>13</v>
      </c>
      <c r="L161" s="13"/>
      <c r="M161" s="13"/>
      <c r="N161" s="26" t="str">
        <f t="shared" si="51"/>
        <v>—</v>
      </c>
      <c r="O161" s="13"/>
      <c r="P161" s="13"/>
      <c r="Q161" s="26" t="str">
        <f t="shared" si="52"/>
        <v>—</v>
      </c>
      <c r="R161" s="39">
        <f t="shared" si="53"/>
        <v>13.3</v>
      </c>
      <c r="S161" s="28" t="s">
        <v>136</v>
      </c>
      <c r="T161" s="28" t="s">
        <v>140</v>
      </c>
    </row>
    <row r="162" spans="1:20" ht="15.75" customHeight="1" x14ac:dyDescent="0.25">
      <c r="A162" s="40" t="s">
        <v>221</v>
      </c>
      <c r="B162" s="30" t="s">
        <v>222</v>
      </c>
      <c r="C162" s="13">
        <v>10</v>
      </c>
      <c r="D162" s="13">
        <v>9</v>
      </c>
      <c r="E162" s="26">
        <f t="shared" si="48"/>
        <v>13</v>
      </c>
      <c r="F162" s="13">
        <v>10</v>
      </c>
      <c r="G162" s="13">
        <v>7</v>
      </c>
      <c r="H162" s="26">
        <f t="shared" si="49"/>
        <v>12.3</v>
      </c>
      <c r="I162" s="13">
        <v>10</v>
      </c>
      <c r="J162" s="13">
        <v>7</v>
      </c>
      <c r="K162" s="26">
        <f t="shared" si="50"/>
        <v>12.3</v>
      </c>
      <c r="L162" s="13"/>
      <c r="M162" s="13"/>
      <c r="N162" s="26" t="str">
        <f t="shared" si="51"/>
        <v>—</v>
      </c>
      <c r="O162" s="13"/>
      <c r="P162" s="13"/>
      <c r="Q162" s="26" t="str">
        <f t="shared" si="52"/>
        <v>—</v>
      </c>
      <c r="R162" s="39">
        <f t="shared" si="53"/>
        <v>13</v>
      </c>
      <c r="S162" s="28" t="s">
        <v>136</v>
      </c>
      <c r="T162" s="28" t="s">
        <v>199</v>
      </c>
    </row>
    <row r="163" spans="1:20" ht="15.75" customHeight="1" x14ac:dyDescent="0.25">
      <c r="A163" s="37" t="s">
        <v>223</v>
      </c>
      <c r="B163" s="38" t="s">
        <v>224</v>
      </c>
      <c r="C163" s="13">
        <v>10</v>
      </c>
      <c r="D163" s="13">
        <v>6</v>
      </c>
      <c r="E163" s="26">
        <f t="shared" si="48"/>
        <v>12</v>
      </c>
      <c r="F163" s="13">
        <v>10</v>
      </c>
      <c r="G163" s="13">
        <v>5</v>
      </c>
      <c r="H163" s="26">
        <f t="shared" si="49"/>
        <v>11.7</v>
      </c>
      <c r="I163" s="13">
        <v>10</v>
      </c>
      <c r="J163" s="13">
        <v>4</v>
      </c>
      <c r="K163" s="26">
        <f t="shared" si="50"/>
        <v>11.3</v>
      </c>
      <c r="L163" s="13"/>
      <c r="M163" s="13"/>
      <c r="N163" s="26" t="str">
        <f t="shared" si="51"/>
        <v>—</v>
      </c>
      <c r="O163" s="13"/>
      <c r="P163" s="13"/>
      <c r="Q163" s="26" t="str">
        <f t="shared" si="52"/>
        <v>—</v>
      </c>
      <c r="R163" s="39">
        <f t="shared" si="53"/>
        <v>12</v>
      </c>
      <c r="S163" s="28"/>
      <c r="T163" s="28"/>
    </row>
    <row r="164" spans="1:20" ht="15.75" customHeight="1" x14ac:dyDescent="0.25">
      <c r="A164" s="40" t="s">
        <v>264</v>
      </c>
      <c r="B164" s="30"/>
      <c r="C164" s="13">
        <v>7.5</v>
      </c>
      <c r="D164" s="13">
        <v>8</v>
      </c>
      <c r="E164" s="26"/>
      <c r="F164" s="13">
        <v>7.5</v>
      </c>
      <c r="G164" s="13">
        <v>6</v>
      </c>
      <c r="H164" s="26"/>
      <c r="I164" s="13">
        <v>7.5</v>
      </c>
      <c r="J164" s="13">
        <v>4</v>
      </c>
      <c r="K164" s="26"/>
      <c r="L164" s="13"/>
      <c r="M164" s="13"/>
      <c r="N164" s="26"/>
      <c r="O164" s="13"/>
      <c r="P164" s="13"/>
      <c r="Q164" s="26"/>
      <c r="R164" s="39"/>
      <c r="S164" s="28"/>
      <c r="T164" s="28"/>
    </row>
    <row r="165" spans="1:20" ht="15.75" customHeight="1" x14ac:dyDescent="0.25">
      <c r="A165" s="40" t="s">
        <v>225</v>
      </c>
      <c r="B165" s="30" t="s">
        <v>226</v>
      </c>
      <c r="C165" s="13"/>
      <c r="D165" s="13"/>
      <c r="E165" s="26" t="str">
        <f t="shared" ref="E165:E169" si="54">IF(AND(ISNUMBER(C165),ISNUMBER(D165)),ROUND(C165*(1+D165/30),1),"—")</f>
        <v>—</v>
      </c>
      <c r="F165" s="13"/>
      <c r="G165" s="13"/>
      <c r="H165" s="26" t="str">
        <f t="shared" ref="H165:H169" si="55">IF(AND(ISNUMBER(F165),ISNUMBER(G165)),ROUND(F165*(1+G165/30),1),"—")</f>
        <v>—</v>
      </c>
      <c r="I165" s="13"/>
      <c r="J165" s="13"/>
      <c r="K165" s="26" t="str">
        <f t="shared" ref="K165:K169" si="56">IF(AND(ISNUMBER(I165),ISNUMBER(J165)),ROUND(I165*(1+J165/30),1),"—")</f>
        <v>—</v>
      </c>
      <c r="L165" s="13"/>
      <c r="M165" s="13"/>
      <c r="N165" s="26" t="str">
        <f t="shared" ref="N165:N169" si="57">IF(AND(ISNUMBER(L165),ISNUMBER(M165)),ROUND(L165*(1+M165/30),1),"—")</f>
        <v>—</v>
      </c>
      <c r="O165" s="13"/>
      <c r="P165" s="13"/>
      <c r="Q165" s="26" t="str">
        <f t="shared" ref="Q165:Q169" si="58">IF(AND(ISNUMBER(O165),ISNUMBER(P165)),ROUND(O165*(1+P165/30),1),"—")</f>
        <v>—</v>
      </c>
      <c r="R165" s="39">
        <f t="shared" ref="R165:R169" si="59">IFERROR(MAX(IFERROR(VALUE(E165),0),IFERROR(VALUE(H165),0),IFERROR(VALUE(K165),0),IFERROR(VALUE(N165),0),IFERROR(VALUE(Q165),0)),"—")</f>
        <v>0</v>
      </c>
      <c r="S165" s="28"/>
      <c r="T165" s="28"/>
    </row>
    <row r="166" spans="1:20" ht="15.75" customHeight="1" x14ac:dyDescent="0.25">
      <c r="A166" s="37" t="s">
        <v>227</v>
      </c>
      <c r="B166" s="38" t="s">
        <v>228</v>
      </c>
      <c r="C166" s="13"/>
      <c r="D166" s="13"/>
      <c r="E166" s="26" t="str">
        <f t="shared" si="54"/>
        <v>—</v>
      </c>
      <c r="F166" s="13"/>
      <c r="G166" s="13"/>
      <c r="H166" s="26" t="str">
        <f t="shared" si="55"/>
        <v>—</v>
      </c>
      <c r="I166" s="13"/>
      <c r="J166" s="13"/>
      <c r="K166" s="26" t="str">
        <f t="shared" si="56"/>
        <v>—</v>
      </c>
      <c r="L166" s="13"/>
      <c r="M166" s="13"/>
      <c r="N166" s="26" t="str">
        <f t="shared" si="57"/>
        <v>—</v>
      </c>
      <c r="O166" s="13"/>
      <c r="P166" s="13"/>
      <c r="Q166" s="26" t="str">
        <f t="shared" si="58"/>
        <v>—</v>
      </c>
      <c r="R166" s="39">
        <f t="shared" si="59"/>
        <v>0</v>
      </c>
      <c r="S166" s="28"/>
      <c r="T166" s="28"/>
    </row>
    <row r="167" spans="1:20" ht="15.75" customHeight="1" x14ac:dyDescent="0.25">
      <c r="A167" s="40" t="s">
        <v>229</v>
      </c>
      <c r="B167" s="30" t="s">
        <v>230</v>
      </c>
      <c r="C167" s="13"/>
      <c r="D167" s="13"/>
      <c r="E167" s="26" t="str">
        <f t="shared" si="54"/>
        <v>—</v>
      </c>
      <c r="F167" s="13"/>
      <c r="G167" s="13"/>
      <c r="H167" s="26" t="str">
        <f t="shared" si="55"/>
        <v>—</v>
      </c>
      <c r="I167" s="13"/>
      <c r="J167" s="13"/>
      <c r="K167" s="26" t="str">
        <f t="shared" si="56"/>
        <v>—</v>
      </c>
      <c r="L167" s="13"/>
      <c r="M167" s="13"/>
      <c r="N167" s="26" t="str">
        <f t="shared" si="57"/>
        <v>—</v>
      </c>
      <c r="O167" s="13"/>
      <c r="P167" s="13"/>
      <c r="Q167" s="26" t="str">
        <f t="shared" si="58"/>
        <v>—</v>
      </c>
      <c r="R167" s="39">
        <f t="shared" si="59"/>
        <v>0</v>
      </c>
      <c r="S167" s="28"/>
      <c r="T167" s="28"/>
    </row>
    <row r="168" spans="1:20" ht="15.75" customHeight="1" x14ac:dyDescent="0.25">
      <c r="A168" s="37" t="s">
        <v>231</v>
      </c>
      <c r="B168" s="38" t="s">
        <v>230</v>
      </c>
      <c r="C168" s="13"/>
      <c r="D168" s="13"/>
      <c r="E168" s="26" t="str">
        <f t="shared" si="54"/>
        <v>—</v>
      </c>
      <c r="F168" s="13"/>
      <c r="G168" s="13"/>
      <c r="H168" s="26" t="str">
        <f t="shared" si="55"/>
        <v>—</v>
      </c>
      <c r="I168" s="13"/>
      <c r="J168" s="13"/>
      <c r="K168" s="26" t="str">
        <f t="shared" si="56"/>
        <v>—</v>
      </c>
      <c r="L168" s="13"/>
      <c r="M168" s="13"/>
      <c r="N168" s="26" t="str">
        <f t="shared" si="57"/>
        <v>—</v>
      </c>
      <c r="O168" s="13"/>
      <c r="P168" s="13"/>
      <c r="Q168" s="26" t="str">
        <f t="shared" si="58"/>
        <v>—</v>
      </c>
      <c r="R168" s="39">
        <f t="shared" si="59"/>
        <v>0</v>
      </c>
      <c r="S168" s="28"/>
      <c r="T168" s="28"/>
    </row>
    <row r="169" spans="1:20" ht="15.75" customHeight="1" x14ac:dyDescent="0.25">
      <c r="A169" s="40" t="s">
        <v>232</v>
      </c>
      <c r="B169" s="30" t="s">
        <v>195</v>
      </c>
      <c r="C169" s="13"/>
      <c r="D169" s="13"/>
      <c r="E169" s="26" t="str">
        <f t="shared" si="54"/>
        <v>—</v>
      </c>
      <c r="F169" s="13"/>
      <c r="G169" s="13"/>
      <c r="H169" s="26" t="str">
        <f t="shared" si="55"/>
        <v>—</v>
      </c>
      <c r="I169" s="13"/>
      <c r="J169" s="13"/>
      <c r="K169" s="26" t="str">
        <f t="shared" si="56"/>
        <v>—</v>
      </c>
      <c r="L169" s="13"/>
      <c r="M169" s="13"/>
      <c r="N169" s="26" t="str">
        <f t="shared" si="57"/>
        <v>—</v>
      </c>
      <c r="O169" s="13"/>
      <c r="P169" s="13"/>
      <c r="Q169" s="26" t="str">
        <f t="shared" si="58"/>
        <v>—</v>
      </c>
      <c r="R169" s="39">
        <f t="shared" si="59"/>
        <v>0</v>
      </c>
      <c r="S169" s="28"/>
      <c r="T169" s="28"/>
    </row>
    <row r="170" spans="1:20" ht="15.75" customHeight="1" x14ac:dyDescent="0.25">
      <c r="A170" s="73" t="s">
        <v>159</v>
      </c>
      <c r="B170" s="57"/>
    </row>
    <row r="171" spans="1:20" ht="15.75" customHeight="1" x14ac:dyDescent="0.25">
      <c r="A171" s="74" t="s">
        <v>160</v>
      </c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7"/>
    </row>
    <row r="173" spans="1:20" ht="21.75" customHeight="1" x14ac:dyDescent="0.25">
      <c r="A173" s="41" t="s">
        <v>97</v>
      </c>
      <c r="B173" s="42"/>
      <c r="C173" s="43" t="s">
        <v>98</v>
      </c>
      <c r="D173" s="44"/>
      <c r="E173" s="43" t="s">
        <v>99</v>
      </c>
      <c r="F173" s="44"/>
      <c r="G173" s="43" t="s">
        <v>100</v>
      </c>
      <c r="H173" s="44" t="s">
        <v>267</v>
      </c>
      <c r="I173" s="43" t="s">
        <v>102</v>
      </c>
      <c r="J173" s="44"/>
      <c r="K173" s="43" t="s">
        <v>103</v>
      </c>
      <c r="L173" s="44"/>
      <c r="M173" s="43" t="s">
        <v>104</v>
      </c>
      <c r="N173" s="44"/>
      <c r="O173" s="43" t="s">
        <v>105</v>
      </c>
      <c r="P173" s="44"/>
    </row>
    <row r="174" spans="1:20" ht="36" customHeight="1" x14ac:dyDescent="0.25">
      <c r="A174" s="45" t="s">
        <v>268</v>
      </c>
      <c r="B174" s="45" t="s">
        <v>107</v>
      </c>
      <c r="C174" s="46" t="s">
        <v>108</v>
      </c>
      <c r="D174" s="46" t="s">
        <v>109</v>
      </c>
      <c r="E174" s="46" t="s">
        <v>110</v>
      </c>
      <c r="F174" s="46" t="s">
        <v>111</v>
      </c>
      <c r="G174" s="46" t="s">
        <v>112</v>
      </c>
      <c r="H174" s="46" t="s">
        <v>113</v>
      </c>
      <c r="I174" s="46" t="s">
        <v>114</v>
      </c>
      <c r="J174" s="46" t="s">
        <v>115</v>
      </c>
      <c r="K174" s="46" t="s">
        <v>116</v>
      </c>
      <c r="L174" s="46" t="s">
        <v>117</v>
      </c>
      <c r="M174" s="46" t="s">
        <v>118</v>
      </c>
      <c r="N174" s="46" t="s">
        <v>119</v>
      </c>
      <c r="O174" s="46" t="s">
        <v>120</v>
      </c>
      <c r="P174" s="46" t="s">
        <v>121</v>
      </c>
      <c r="Q174" s="46" t="s">
        <v>122</v>
      </c>
      <c r="R174" s="46" t="s">
        <v>123</v>
      </c>
      <c r="S174" s="46" t="s">
        <v>124</v>
      </c>
      <c r="T174" s="46" t="s">
        <v>125</v>
      </c>
    </row>
    <row r="175" spans="1:20" ht="21.75" customHeight="1" x14ac:dyDescent="0.25">
      <c r="A175" s="47" t="s">
        <v>269</v>
      </c>
      <c r="B175" s="30" t="s">
        <v>270</v>
      </c>
      <c r="C175" s="13"/>
      <c r="D175" s="13"/>
      <c r="E175" s="26" t="str">
        <f t="shared" ref="E175:E190" si="60">IF(AND(ISNUMBER(C175),ISNUMBER(D175)),ROUND(C175*(1+D175/30),1),"—")</f>
        <v>—</v>
      </c>
      <c r="F175" s="13"/>
      <c r="G175" s="13"/>
      <c r="H175" s="26" t="str">
        <f t="shared" ref="H175:H190" si="61">IF(AND(ISNUMBER(F175),ISNUMBER(G175)),ROUND(F175*(1+G175/30),1),"—")</f>
        <v>—</v>
      </c>
      <c r="I175" s="13"/>
      <c r="J175" s="13"/>
      <c r="K175" s="26" t="str">
        <f t="shared" ref="K175:K190" si="62">IF(AND(ISNUMBER(I175),ISNUMBER(J175)),ROUND(I175*(1+J175/30),1),"—")</f>
        <v>—</v>
      </c>
      <c r="L175" s="13"/>
      <c r="M175" s="13"/>
      <c r="N175" s="26" t="str">
        <f t="shared" ref="N175:N190" si="63">IF(AND(ISNUMBER(L175),ISNUMBER(M175)),ROUND(L175*(1+M175/30),1),"—")</f>
        <v>—</v>
      </c>
      <c r="O175" s="13"/>
      <c r="P175" s="13"/>
      <c r="Q175" s="26" t="str">
        <f t="shared" ref="Q175:Q190" si="64">IF(AND(ISNUMBER(O175),ISNUMBER(P175)),ROUND(O175*(1+P175/30),1),"—")</f>
        <v>—</v>
      </c>
      <c r="R175" s="48">
        <f t="shared" ref="R175:R190" si="65">IFERROR(MAX(IFERROR(VALUE(E175),0),IFERROR(VALUE(H175),0),IFERROR(VALUE(K175),0),IFERROR(VALUE(N175),0),IFERROR(VALUE(Q175),0)),"—")</f>
        <v>0</v>
      </c>
      <c r="S175" s="28"/>
      <c r="T175" s="28"/>
    </row>
    <row r="176" spans="1:20" ht="21.75" customHeight="1" x14ac:dyDescent="0.25">
      <c r="A176" s="49" t="s">
        <v>271</v>
      </c>
      <c r="B176" s="50" t="s">
        <v>272</v>
      </c>
      <c r="C176" s="13"/>
      <c r="D176" s="13"/>
      <c r="E176" s="26" t="str">
        <f t="shared" si="60"/>
        <v>—</v>
      </c>
      <c r="F176" s="13"/>
      <c r="G176" s="13"/>
      <c r="H176" s="26" t="str">
        <f t="shared" si="61"/>
        <v>—</v>
      </c>
      <c r="I176" s="13"/>
      <c r="J176" s="13"/>
      <c r="K176" s="26" t="str">
        <f t="shared" si="62"/>
        <v>—</v>
      </c>
      <c r="L176" s="13"/>
      <c r="M176" s="13"/>
      <c r="N176" s="26" t="str">
        <f t="shared" si="63"/>
        <v>—</v>
      </c>
      <c r="O176" s="13"/>
      <c r="P176" s="13"/>
      <c r="Q176" s="26" t="str">
        <f t="shared" si="64"/>
        <v>—</v>
      </c>
      <c r="R176" s="48">
        <f t="shared" si="65"/>
        <v>0</v>
      </c>
      <c r="S176" s="28"/>
      <c r="T176" s="28"/>
    </row>
    <row r="177" spans="1:20" ht="21.75" customHeight="1" x14ac:dyDescent="0.25">
      <c r="A177" s="47" t="s">
        <v>273</v>
      </c>
      <c r="B177" s="30" t="s">
        <v>274</v>
      </c>
      <c r="C177" s="13"/>
      <c r="D177" s="13"/>
      <c r="E177" s="26" t="str">
        <f t="shared" si="60"/>
        <v>—</v>
      </c>
      <c r="F177" s="13"/>
      <c r="G177" s="13"/>
      <c r="H177" s="26" t="str">
        <f t="shared" si="61"/>
        <v>—</v>
      </c>
      <c r="I177" s="13"/>
      <c r="J177" s="13"/>
      <c r="K177" s="26" t="str">
        <f t="shared" si="62"/>
        <v>—</v>
      </c>
      <c r="L177" s="13"/>
      <c r="M177" s="13"/>
      <c r="N177" s="26" t="str">
        <f t="shared" si="63"/>
        <v>—</v>
      </c>
      <c r="O177" s="13"/>
      <c r="P177" s="13"/>
      <c r="Q177" s="26" t="str">
        <f t="shared" si="64"/>
        <v>—</v>
      </c>
      <c r="R177" s="48">
        <f t="shared" si="65"/>
        <v>0</v>
      </c>
      <c r="S177" s="28"/>
      <c r="T177" s="28"/>
    </row>
    <row r="178" spans="1:20" ht="21.75" customHeight="1" x14ac:dyDescent="0.25">
      <c r="A178" s="49" t="s">
        <v>275</v>
      </c>
      <c r="B178" s="50" t="s">
        <v>276</v>
      </c>
      <c r="C178" s="13"/>
      <c r="D178" s="13"/>
      <c r="E178" s="26" t="str">
        <f t="shared" si="60"/>
        <v>—</v>
      </c>
      <c r="F178" s="13"/>
      <c r="G178" s="13"/>
      <c r="H178" s="26" t="str">
        <f t="shared" si="61"/>
        <v>—</v>
      </c>
      <c r="I178" s="13"/>
      <c r="J178" s="13"/>
      <c r="K178" s="26" t="str">
        <f t="shared" si="62"/>
        <v>—</v>
      </c>
      <c r="L178" s="13"/>
      <c r="M178" s="13"/>
      <c r="N178" s="26" t="str">
        <f t="shared" si="63"/>
        <v>—</v>
      </c>
      <c r="O178" s="13"/>
      <c r="P178" s="13"/>
      <c r="Q178" s="26" t="str">
        <f t="shared" si="64"/>
        <v>—</v>
      </c>
      <c r="R178" s="48">
        <f t="shared" si="65"/>
        <v>0</v>
      </c>
      <c r="S178" s="28"/>
      <c r="T178" s="28"/>
    </row>
    <row r="179" spans="1:20" ht="21.75" customHeight="1" x14ac:dyDescent="0.25">
      <c r="A179" s="47" t="s">
        <v>277</v>
      </c>
      <c r="B179" s="30" t="s">
        <v>278</v>
      </c>
      <c r="C179" s="13"/>
      <c r="D179" s="13"/>
      <c r="E179" s="26" t="str">
        <f t="shared" si="60"/>
        <v>—</v>
      </c>
      <c r="F179" s="13"/>
      <c r="G179" s="13"/>
      <c r="H179" s="26" t="str">
        <f t="shared" si="61"/>
        <v>—</v>
      </c>
      <c r="I179" s="13"/>
      <c r="J179" s="13"/>
      <c r="K179" s="26" t="str">
        <f t="shared" si="62"/>
        <v>—</v>
      </c>
      <c r="L179" s="13"/>
      <c r="M179" s="13"/>
      <c r="N179" s="26" t="str">
        <f t="shared" si="63"/>
        <v>—</v>
      </c>
      <c r="O179" s="13"/>
      <c r="P179" s="13"/>
      <c r="Q179" s="26" t="str">
        <f t="shared" si="64"/>
        <v>—</v>
      </c>
      <c r="R179" s="48">
        <f t="shared" si="65"/>
        <v>0</v>
      </c>
      <c r="S179" s="28" t="s">
        <v>136</v>
      </c>
      <c r="T179" s="28" t="s">
        <v>199</v>
      </c>
    </row>
    <row r="180" spans="1:20" ht="21.75" customHeight="1" x14ac:dyDescent="0.25">
      <c r="A180" s="49" t="s">
        <v>279</v>
      </c>
      <c r="B180" s="50" t="s">
        <v>280</v>
      </c>
      <c r="C180" s="13"/>
      <c r="D180" s="13"/>
      <c r="E180" s="26" t="str">
        <f t="shared" si="60"/>
        <v>—</v>
      </c>
      <c r="F180" s="13"/>
      <c r="G180" s="13"/>
      <c r="H180" s="26" t="str">
        <f t="shared" si="61"/>
        <v>—</v>
      </c>
      <c r="I180" s="13"/>
      <c r="J180" s="13"/>
      <c r="K180" s="26" t="str">
        <f t="shared" si="62"/>
        <v>—</v>
      </c>
      <c r="L180" s="13"/>
      <c r="M180" s="13"/>
      <c r="N180" s="26" t="str">
        <f t="shared" si="63"/>
        <v>—</v>
      </c>
      <c r="O180" s="13"/>
      <c r="P180" s="13"/>
      <c r="Q180" s="26" t="str">
        <f t="shared" si="64"/>
        <v>—</v>
      </c>
      <c r="R180" s="48">
        <f t="shared" si="65"/>
        <v>0</v>
      </c>
      <c r="S180" s="28" t="s">
        <v>136</v>
      </c>
      <c r="T180" s="28" t="s">
        <v>199</v>
      </c>
    </row>
    <row r="181" spans="1:20" ht="21.75" customHeight="1" x14ac:dyDescent="0.25">
      <c r="A181" s="47" t="s">
        <v>281</v>
      </c>
      <c r="B181" s="30" t="s">
        <v>282</v>
      </c>
      <c r="C181" s="13"/>
      <c r="D181" s="13"/>
      <c r="E181" s="26" t="str">
        <f t="shared" si="60"/>
        <v>—</v>
      </c>
      <c r="F181" s="13"/>
      <c r="G181" s="13"/>
      <c r="H181" s="26" t="str">
        <f t="shared" si="61"/>
        <v>—</v>
      </c>
      <c r="I181" s="13"/>
      <c r="J181" s="13"/>
      <c r="K181" s="26" t="str">
        <f t="shared" si="62"/>
        <v>—</v>
      </c>
      <c r="L181" s="13"/>
      <c r="M181" s="13"/>
      <c r="N181" s="26" t="str">
        <f t="shared" si="63"/>
        <v>—</v>
      </c>
      <c r="O181" s="13"/>
      <c r="P181" s="13"/>
      <c r="Q181" s="26" t="str">
        <f t="shared" si="64"/>
        <v>—</v>
      </c>
      <c r="R181" s="48">
        <f t="shared" si="65"/>
        <v>0</v>
      </c>
      <c r="S181" s="28" t="s">
        <v>136</v>
      </c>
      <c r="T181" s="28" t="s">
        <v>283</v>
      </c>
    </row>
    <row r="182" spans="1:20" ht="21.75" customHeight="1" x14ac:dyDescent="0.25">
      <c r="A182" s="49" t="s">
        <v>284</v>
      </c>
      <c r="B182" s="50" t="s">
        <v>285</v>
      </c>
      <c r="C182" s="13"/>
      <c r="D182" s="13"/>
      <c r="E182" s="26" t="str">
        <f t="shared" si="60"/>
        <v>—</v>
      </c>
      <c r="F182" s="13"/>
      <c r="G182" s="13"/>
      <c r="H182" s="26" t="str">
        <f t="shared" si="61"/>
        <v>—</v>
      </c>
      <c r="I182" s="13"/>
      <c r="J182" s="13"/>
      <c r="K182" s="26" t="str">
        <f t="shared" si="62"/>
        <v>—</v>
      </c>
      <c r="L182" s="13"/>
      <c r="M182" s="13"/>
      <c r="N182" s="26" t="str">
        <f t="shared" si="63"/>
        <v>—</v>
      </c>
      <c r="O182" s="13"/>
      <c r="P182" s="13"/>
      <c r="Q182" s="26" t="str">
        <f t="shared" si="64"/>
        <v>—</v>
      </c>
      <c r="R182" s="48">
        <f t="shared" si="65"/>
        <v>0</v>
      </c>
      <c r="S182" s="28" t="s">
        <v>136</v>
      </c>
      <c r="T182" s="28" t="s">
        <v>199</v>
      </c>
    </row>
    <row r="183" spans="1:20" ht="21.75" customHeight="1" x14ac:dyDescent="0.25">
      <c r="A183" s="47" t="s">
        <v>286</v>
      </c>
      <c r="B183" s="30" t="s">
        <v>287</v>
      </c>
      <c r="C183" s="13"/>
      <c r="D183" s="13"/>
      <c r="E183" s="26" t="str">
        <f t="shared" si="60"/>
        <v>—</v>
      </c>
      <c r="F183" s="13"/>
      <c r="G183" s="13"/>
      <c r="H183" s="26" t="str">
        <f t="shared" si="61"/>
        <v>—</v>
      </c>
      <c r="I183" s="13"/>
      <c r="J183" s="13"/>
      <c r="K183" s="26" t="str">
        <f t="shared" si="62"/>
        <v>—</v>
      </c>
      <c r="L183" s="13"/>
      <c r="M183" s="13"/>
      <c r="N183" s="26" t="str">
        <f t="shared" si="63"/>
        <v>—</v>
      </c>
      <c r="O183" s="13"/>
      <c r="P183" s="13"/>
      <c r="Q183" s="26" t="str">
        <f t="shared" si="64"/>
        <v>—</v>
      </c>
      <c r="R183" s="48">
        <f t="shared" si="65"/>
        <v>0</v>
      </c>
      <c r="S183" s="28" t="s">
        <v>136</v>
      </c>
      <c r="T183" s="28" t="s">
        <v>140</v>
      </c>
    </row>
    <row r="184" spans="1:20" ht="21.75" customHeight="1" x14ac:dyDescent="0.25">
      <c r="A184" s="49" t="s">
        <v>288</v>
      </c>
      <c r="B184" s="50" t="s">
        <v>289</v>
      </c>
      <c r="C184" s="13"/>
      <c r="D184" s="13"/>
      <c r="E184" s="26" t="str">
        <f t="shared" si="60"/>
        <v>—</v>
      </c>
      <c r="F184" s="13"/>
      <c r="G184" s="13"/>
      <c r="H184" s="26" t="str">
        <f t="shared" si="61"/>
        <v>—</v>
      </c>
      <c r="I184" s="13"/>
      <c r="J184" s="13"/>
      <c r="K184" s="26" t="str">
        <f t="shared" si="62"/>
        <v>—</v>
      </c>
      <c r="L184" s="13"/>
      <c r="M184" s="13"/>
      <c r="N184" s="26" t="str">
        <f t="shared" si="63"/>
        <v>—</v>
      </c>
      <c r="O184" s="13"/>
      <c r="P184" s="13"/>
      <c r="Q184" s="26" t="str">
        <f t="shared" si="64"/>
        <v>—</v>
      </c>
      <c r="R184" s="48">
        <f t="shared" si="65"/>
        <v>0</v>
      </c>
      <c r="S184" s="28" t="s">
        <v>136</v>
      </c>
      <c r="T184" s="28" t="s">
        <v>196</v>
      </c>
    </row>
    <row r="185" spans="1:20" ht="21.75" customHeight="1" x14ac:dyDescent="0.25">
      <c r="A185" s="47" t="s">
        <v>290</v>
      </c>
      <c r="B185" s="30" t="s">
        <v>291</v>
      </c>
      <c r="C185" s="13"/>
      <c r="D185" s="13"/>
      <c r="E185" s="26" t="str">
        <f t="shared" si="60"/>
        <v>—</v>
      </c>
      <c r="F185" s="13"/>
      <c r="G185" s="13"/>
      <c r="H185" s="26" t="str">
        <f t="shared" si="61"/>
        <v>—</v>
      </c>
      <c r="I185" s="13"/>
      <c r="J185" s="13"/>
      <c r="K185" s="26" t="str">
        <f t="shared" si="62"/>
        <v>—</v>
      </c>
      <c r="L185" s="13"/>
      <c r="M185" s="13"/>
      <c r="N185" s="26" t="str">
        <f t="shared" si="63"/>
        <v>—</v>
      </c>
      <c r="O185" s="13"/>
      <c r="P185" s="13"/>
      <c r="Q185" s="26" t="str">
        <f t="shared" si="64"/>
        <v>—</v>
      </c>
      <c r="R185" s="48">
        <f t="shared" si="65"/>
        <v>0</v>
      </c>
      <c r="S185" s="28" t="s">
        <v>136</v>
      </c>
      <c r="T185" s="28" t="s">
        <v>283</v>
      </c>
    </row>
    <row r="186" spans="1:20" ht="21.75" customHeight="1" x14ac:dyDescent="0.25">
      <c r="A186" s="49" t="s">
        <v>292</v>
      </c>
      <c r="B186" s="50" t="s">
        <v>293</v>
      </c>
      <c r="C186" s="13"/>
      <c r="D186" s="13"/>
      <c r="E186" s="26" t="str">
        <f t="shared" si="60"/>
        <v>—</v>
      </c>
      <c r="F186" s="13"/>
      <c r="G186" s="13"/>
      <c r="H186" s="26" t="str">
        <f t="shared" si="61"/>
        <v>—</v>
      </c>
      <c r="I186" s="13"/>
      <c r="J186" s="13"/>
      <c r="K186" s="26" t="str">
        <f t="shared" si="62"/>
        <v>—</v>
      </c>
      <c r="L186" s="13"/>
      <c r="M186" s="13"/>
      <c r="N186" s="26" t="str">
        <f t="shared" si="63"/>
        <v>—</v>
      </c>
      <c r="O186" s="13"/>
      <c r="P186" s="13"/>
      <c r="Q186" s="26" t="str">
        <f t="shared" si="64"/>
        <v>—</v>
      </c>
      <c r="R186" s="48">
        <f t="shared" si="65"/>
        <v>0</v>
      </c>
      <c r="S186" s="28" t="s">
        <v>136</v>
      </c>
      <c r="T186" s="28" t="s">
        <v>283</v>
      </c>
    </row>
    <row r="187" spans="1:20" ht="21.75" customHeight="1" x14ac:dyDescent="0.25">
      <c r="A187" s="47" t="s">
        <v>294</v>
      </c>
      <c r="B187" s="30" t="s">
        <v>295</v>
      </c>
      <c r="C187" s="13"/>
      <c r="D187" s="13"/>
      <c r="E187" s="26" t="str">
        <f t="shared" si="60"/>
        <v>—</v>
      </c>
      <c r="F187" s="13"/>
      <c r="G187" s="13"/>
      <c r="H187" s="26" t="str">
        <f t="shared" si="61"/>
        <v>—</v>
      </c>
      <c r="I187" s="13"/>
      <c r="J187" s="13"/>
      <c r="K187" s="26" t="str">
        <f t="shared" si="62"/>
        <v>—</v>
      </c>
      <c r="L187" s="13"/>
      <c r="M187" s="13"/>
      <c r="N187" s="26" t="str">
        <f t="shared" si="63"/>
        <v>—</v>
      </c>
      <c r="O187" s="13"/>
      <c r="P187" s="13"/>
      <c r="Q187" s="26" t="str">
        <f t="shared" si="64"/>
        <v>—</v>
      </c>
      <c r="R187" s="48">
        <f t="shared" si="65"/>
        <v>0</v>
      </c>
      <c r="S187" s="28" t="s">
        <v>136</v>
      </c>
      <c r="T187" s="28" t="s">
        <v>197</v>
      </c>
    </row>
    <row r="188" spans="1:20" ht="21.75" customHeight="1" x14ac:dyDescent="0.25">
      <c r="A188" s="49" t="s">
        <v>296</v>
      </c>
      <c r="B188" s="50" t="s">
        <v>297</v>
      </c>
      <c r="C188" s="13"/>
      <c r="D188" s="13"/>
      <c r="E188" s="26" t="str">
        <f t="shared" si="60"/>
        <v>—</v>
      </c>
      <c r="F188" s="13"/>
      <c r="G188" s="13"/>
      <c r="H188" s="26" t="str">
        <f t="shared" si="61"/>
        <v>—</v>
      </c>
      <c r="I188" s="13"/>
      <c r="J188" s="13"/>
      <c r="K188" s="26" t="str">
        <f t="shared" si="62"/>
        <v>—</v>
      </c>
      <c r="L188" s="13"/>
      <c r="M188" s="13"/>
      <c r="N188" s="26" t="str">
        <f t="shared" si="63"/>
        <v>—</v>
      </c>
      <c r="O188" s="13"/>
      <c r="P188" s="13"/>
      <c r="Q188" s="26" t="str">
        <f t="shared" si="64"/>
        <v>—</v>
      </c>
      <c r="R188" s="48">
        <f t="shared" si="65"/>
        <v>0</v>
      </c>
      <c r="S188" s="28" t="s">
        <v>136</v>
      </c>
      <c r="T188" s="28" t="s">
        <v>199</v>
      </c>
    </row>
    <row r="189" spans="1:20" ht="21.75" customHeight="1" x14ac:dyDescent="0.25">
      <c r="A189" s="47" t="s">
        <v>298</v>
      </c>
      <c r="B189" s="30" t="s">
        <v>299</v>
      </c>
      <c r="C189" s="13"/>
      <c r="D189" s="13"/>
      <c r="E189" s="26" t="str">
        <f t="shared" si="60"/>
        <v>—</v>
      </c>
      <c r="F189" s="13"/>
      <c r="G189" s="13"/>
      <c r="H189" s="26" t="str">
        <f t="shared" si="61"/>
        <v>—</v>
      </c>
      <c r="I189" s="13"/>
      <c r="J189" s="13"/>
      <c r="K189" s="26" t="str">
        <f t="shared" si="62"/>
        <v>—</v>
      </c>
      <c r="L189" s="13"/>
      <c r="M189" s="13"/>
      <c r="N189" s="26" t="str">
        <f t="shared" si="63"/>
        <v>—</v>
      </c>
      <c r="O189" s="13"/>
      <c r="P189" s="13"/>
      <c r="Q189" s="26" t="str">
        <f t="shared" si="64"/>
        <v>—</v>
      </c>
      <c r="R189" s="48">
        <f t="shared" si="65"/>
        <v>0</v>
      </c>
      <c r="S189" s="28"/>
      <c r="T189" s="28"/>
    </row>
    <row r="190" spans="1:20" ht="21.75" customHeight="1" x14ac:dyDescent="0.25">
      <c r="A190" s="49" t="s">
        <v>300</v>
      </c>
      <c r="B190" s="50" t="s">
        <v>295</v>
      </c>
      <c r="C190" s="13"/>
      <c r="D190" s="13"/>
      <c r="E190" s="26" t="str">
        <f t="shared" si="60"/>
        <v>—</v>
      </c>
      <c r="F190" s="13"/>
      <c r="G190" s="13"/>
      <c r="H190" s="26" t="str">
        <f t="shared" si="61"/>
        <v>—</v>
      </c>
      <c r="I190" s="13"/>
      <c r="J190" s="13"/>
      <c r="K190" s="26" t="str">
        <f t="shared" si="62"/>
        <v>—</v>
      </c>
      <c r="L190" s="13"/>
      <c r="M190" s="13"/>
      <c r="N190" s="26" t="str">
        <f t="shared" si="63"/>
        <v>—</v>
      </c>
      <c r="O190" s="13"/>
      <c r="P190" s="13"/>
      <c r="Q190" s="26" t="str">
        <f t="shared" si="64"/>
        <v>—</v>
      </c>
      <c r="R190" s="48">
        <f t="shared" si="65"/>
        <v>0</v>
      </c>
      <c r="S190" s="28" t="s">
        <v>136</v>
      </c>
      <c r="T190" s="28" t="s">
        <v>301</v>
      </c>
    </row>
    <row r="191" spans="1:20" ht="21.75" customHeight="1" x14ac:dyDescent="0.25">
      <c r="A191" s="73" t="s">
        <v>159</v>
      </c>
      <c r="B191" s="57"/>
    </row>
    <row r="192" spans="1:20" ht="18" customHeight="1" x14ac:dyDescent="0.25">
      <c r="A192" s="74" t="s">
        <v>160</v>
      </c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7"/>
    </row>
  </sheetData>
  <mergeCells count="24">
    <mergeCell ref="A192:T192"/>
    <mergeCell ref="A127:B127"/>
    <mergeCell ref="A128:T128"/>
    <mergeCell ref="A170:B170"/>
    <mergeCell ref="A171:T171"/>
    <mergeCell ref="A191:B191"/>
    <mergeCell ref="A47:O47"/>
    <mergeCell ref="A66:B66"/>
    <mergeCell ref="A67:T67"/>
    <mergeCell ref="A106:B106"/>
    <mergeCell ref="A107:T107"/>
    <mergeCell ref="A23:O23"/>
    <mergeCell ref="A24:O24"/>
    <mergeCell ref="A43:B43"/>
    <mergeCell ref="A44:T44"/>
    <mergeCell ref="A46:O46"/>
    <mergeCell ref="A1:O1"/>
    <mergeCell ref="A2:O2"/>
    <mergeCell ref="A21:B21"/>
    <mergeCell ref="A22:T22"/>
    <mergeCell ref="A86:B86"/>
    <mergeCell ref="A87:T87"/>
    <mergeCell ref="A149:T149"/>
    <mergeCell ref="A148:B148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D9E75"/>
  </sheetPr>
  <dimension ref="A1:Y1000"/>
  <sheetViews>
    <sheetView showGridLines="0" workbookViewId="0">
      <selection sqref="A1:T1"/>
    </sheetView>
  </sheetViews>
  <sheetFormatPr defaultColWidth="14.42578125" defaultRowHeight="15" customHeight="1" x14ac:dyDescent="0.25"/>
  <cols>
    <col min="1" max="1" width="31.28515625" customWidth="1"/>
    <col min="2" max="25" width="11" customWidth="1"/>
    <col min="26" max="26" width="8.7109375" customWidth="1"/>
  </cols>
  <sheetData>
    <row r="1" spans="1:25" ht="36" customHeight="1" x14ac:dyDescent="0.25">
      <c r="A1" s="75" t="s">
        <v>336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7"/>
    </row>
    <row r="2" spans="1:25" ht="19.5" customHeight="1" x14ac:dyDescent="0.25">
      <c r="A2" s="76" t="s">
        <v>337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7"/>
    </row>
    <row r="3" spans="1:25" ht="9.75" customHeight="1" x14ac:dyDescent="0.25">
      <c r="A3" s="6"/>
      <c r="C3" s="51"/>
    </row>
    <row r="4" spans="1:25" ht="36" customHeight="1" x14ac:dyDescent="0.25">
      <c r="A4" s="5" t="s">
        <v>335</v>
      </c>
      <c r="B4" s="16" t="s">
        <v>338</v>
      </c>
      <c r="C4" s="52" t="s">
        <v>339</v>
      </c>
      <c r="D4" s="16" t="s">
        <v>340</v>
      </c>
      <c r="E4" s="16" t="s">
        <v>341</v>
      </c>
      <c r="F4" s="16" t="s">
        <v>342</v>
      </c>
      <c r="G4" s="16" t="s">
        <v>343</v>
      </c>
      <c r="H4" s="16" t="s">
        <v>344</v>
      </c>
      <c r="I4" s="16" t="s">
        <v>345</v>
      </c>
      <c r="J4" s="16" t="s">
        <v>346</v>
      </c>
      <c r="K4" s="16" t="s">
        <v>347</v>
      </c>
      <c r="L4" s="16" t="s">
        <v>348</v>
      </c>
      <c r="M4" s="16" t="s">
        <v>349</v>
      </c>
      <c r="N4" s="16" t="s">
        <v>350</v>
      </c>
      <c r="O4" s="16" t="s">
        <v>351</v>
      </c>
      <c r="P4" s="16" t="s">
        <v>352</v>
      </c>
      <c r="Q4" s="16" t="s">
        <v>353</v>
      </c>
      <c r="R4" s="16" t="s">
        <v>354</v>
      </c>
      <c r="S4" s="16" t="s">
        <v>355</v>
      </c>
      <c r="T4" s="16" t="s">
        <v>356</v>
      </c>
      <c r="U4" s="16" t="s">
        <v>357</v>
      </c>
      <c r="V4" s="16" t="s">
        <v>358</v>
      </c>
      <c r="W4" s="16" t="s">
        <v>359</v>
      </c>
      <c r="X4" s="16" t="s">
        <v>360</v>
      </c>
      <c r="Y4" s="16" t="s">
        <v>361</v>
      </c>
    </row>
    <row r="5" spans="1:25" ht="19.5" customHeight="1" x14ac:dyDescent="0.25">
      <c r="A5" s="53" t="s">
        <v>134</v>
      </c>
      <c r="B5" s="13">
        <f>'Exercise Plan'!R9</f>
        <v>12.5</v>
      </c>
      <c r="C5" s="54" t="str">
        <f ca="1">IFERROR((OFFSET('Exercise Plan'!R9,(COLUMN()-2)*40,0)-OFFSET('Exercise Plan'!R9,(COLUMN()-3)*40,0))/OFFSET('Exercise Plan'!R9,(COLUMN()-3)*40,0)+1,"N/A")</f>
        <v>N/A</v>
      </c>
      <c r="D5" s="54" t="str">
        <f ca="1">IFERROR((OFFSET('Exercise Plan'!R9,(COLUMN()-2)*40,0)-OFFSET('Exercise Plan'!R9,(COLUMN()-3)*40,0))/OFFSET('Exercise Plan'!R9,(COLUMN()-3)*40,0)+1,"N/A")</f>
        <v>N/A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ht="19.5" customHeight="1" x14ac:dyDescent="0.25">
      <c r="A6" s="55" t="s">
        <v>138</v>
      </c>
      <c r="B6" s="13">
        <f>'Exercise Plan'!R10</f>
        <v>12.5</v>
      </c>
      <c r="C6" s="54">
        <f ca="1">IFERROR((OFFSET('Exercise Plan'!R10,(COLUMN()-2)*40,0)-OFFSET('Exercise Plan'!R10,(COLUMN()-3)*40,0))/OFFSET('Exercise Plan'!R10,(COLUMN()-3)*40,0)+1,"N/A")</f>
        <v>0</v>
      </c>
      <c r="D6" s="54" t="str">
        <f ca="1">IFERROR((OFFSET('Exercise Plan'!R10,(COLUMN()-2)*40,0)-OFFSET('Exercise Plan'!R10,(COLUMN()-3)*40,0))/OFFSET('Exercise Plan'!R10,(COLUMN()-3)*40,0)+1,"N/A")</f>
        <v>N/A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ht="19.5" customHeight="1" x14ac:dyDescent="0.25">
      <c r="A7" s="53" t="s">
        <v>141</v>
      </c>
      <c r="B7" s="13">
        <f>'Exercise Plan'!R11</f>
        <v>10</v>
      </c>
      <c r="C7" s="54">
        <f ca="1">IFERROR((OFFSET('Exercise Plan'!R11,(COLUMN()-2)*40,0)-OFFSET('Exercise Plan'!R11,(COLUMN()-3)*40,0))/OFFSET('Exercise Plan'!R11,(COLUMN()-3)*40,0)+1,"N/A")</f>
        <v>0</v>
      </c>
      <c r="D7" s="54" t="str">
        <f ca="1">IFERROR((OFFSET('Exercise Plan'!R11,(COLUMN()-2)*40,0)-OFFSET('Exercise Plan'!R11,(COLUMN()-3)*40,0))/OFFSET('Exercise Plan'!R11,(COLUMN()-3)*40,0)+1,"N/A")</f>
        <v>N/A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ht="19.5" customHeight="1" x14ac:dyDescent="0.25">
      <c r="A8" s="55" t="s">
        <v>143</v>
      </c>
      <c r="B8" s="13">
        <f>'Exercise Plan'!R12</f>
        <v>18.5</v>
      </c>
      <c r="C8" s="54">
        <f ca="1">IFERROR((OFFSET('Exercise Plan'!R12,(COLUMN()-2)*40,0)-OFFSET('Exercise Plan'!R12,(COLUMN()-3)*40,0))/OFFSET('Exercise Plan'!R12,(COLUMN()-3)*40,0)+1,"N/A")</f>
        <v>0</v>
      </c>
      <c r="D8" s="54" t="str">
        <f ca="1">IFERROR((OFFSET('Exercise Plan'!R12,(COLUMN()-2)*40,0)-OFFSET('Exercise Plan'!R12,(COLUMN()-3)*40,0))/OFFSET('Exercise Plan'!R12,(COLUMN()-3)*40,0)+1,"N/A")</f>
        <v>N/A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ht="19.5" customHeight="1" x14ac:dyDescent="0.25">
      <c r="A9" s="53" t="s">
        <v>145</v>
      </c>
      <c r="B9" s="13">
        <f>'Exercise Plan'!R13</f>
        <v>23.5</v>
      </c>
      <c r="C9" s="54">
        <f ca="1">IFERROR((OFFSET('Exercise Plan'!R13,(COLUMN()-2)*40,0)-OFFSET('Exercise Plan'!R13,(COLUMN()-3)*40,0))/OFFSET('Exercise Plan'!R13,(COLUMN()-3)*40,0)+1,"N/A")</f>
        <v>0</v>
      </c>
      <c r="D9" s="54" t="str">
        <f ca="1">IFERROR((OFFSET('Exercise Plan'!R13,(COLUMN()-2)*40,0)-OFFSET('Exercise Plan'!R13,(COLUMN()-3)*40,0))/OFFSET('Exercise Plan'!R13,(COLUMN()-3)*40,0)+1,"N/A")</f>
        <v>N/A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9.5" customHeight="1" x14ac:dyDescent="0.25">
      <c r="A10" s="55" t="s">
        <v>147</v>
      </c>
      <c r="B10" s="13">
        <f>'Exercise Plan'!R14</f>
        <v>21</v>
      </c>
      <c r="C10" s="54">
        <f ca="1">IFERROR((OFFSET('Exercise Plan'!R14,(COLUMN()-2)*40,0)-OFFSET('Exercise Plan'!R14,(COLUMN()-3)*40,0))/OFFSET('Exercise Plan'!R14,(COLUMN()-3)*40,0)+1,"N/A")</f>
        <v>0</v>
      </c>
      <c r="D10" s="54" t="str">
        <f ca="1">IFERROR((OFFSET('Exercise Plan'!R14,(COLUMN()-2)*40,0)-OFFSET('Exercise Plan'!R14,(COLUMN()-3)*40,0))/OFFSET('Exercise Plan'!R14,(COLUMN()-3)*40,0)+1,"N/A")</f>
        <v>N/A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ht="19.5" customHeight="1" x14ac:dyDescent="0.25">
      <c r="A11" s="53" t="s">
        <v>149</v>
      </c>
      <c r="B11" s="13">
        <f>'Exercise Plan'!R15</f>
        <v>11</v>
      </c>
      <c r="C11" s="54">
        <f ca="1">IFERROR((OFFSET('Exercise Plan'!R15,(COLUMN()-2)*40,0)-OFFSET('Exercise Plan'!R15,(COLUMN()-3)*40,0))/OFFSET('Exercise Plan'!R15,(COLUMN()-3)*40,0)+1,"N/A")</f>
        <v>0</v>
      </c>
      <c r="D11" s="54" t="str">
        <f ca="1">IFERROR((OFFSET('Exercise Plan'!R15,(COLUMN()-2)*40,0)-OFFSET('Exercise Plan'!R15,(COLUMN()-3)*40,0))/OFFSET('Exercise Plan'!R15,(COLUMN()-3)*40,0)+1,"N/A")</f>
        <v>N/A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9.5" customHeight="1" x14ac:dyDescent="0.25">
      <c r="A12" s="55" t="s">
        <v>169</v>
      </c>
      <c r="B12" s="13">
        <f>'Exercise Plan'!R75</f>
        <v>13</v>
      </c>
      <c r="C12" s="54">
        <f ca="1">IFERROR((OFFSET('Exercise Plan'!R75,(COLUMN()-2)*40,0)-OFFSET('Exercise Plan'!R75,(COLUMN()-3)*40,0))/OFFSET('Exercise Plan'!R75,(COLUMN()-3)*40,0)+1,"N/A")</f>
        <v>0</v>
      </c>
      <c r="D12" s="54" t="str">
        <f ca="1">IFERROR((OFFSET('Exercise Plan'!R16,(COLUMN()-2)*40,0)-OFFSET('Exercise Plan'!R16,(COLUMN()-3)*40,0))/OFFSET('Exercise Plan'!R16,(COLUMN()-3)*40,0)+1,"N/A")</f>
        <v>N/A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ht="19.5" customHeight="1" x14ac:dyDescent="0.25">
      <c r="A13" s="53" t="s">
        <v>172</v>
      </c>
      <c r="B13" s="13">
        <f>'Exercise Plan'!R76</f>
        <v>12.7</v>
      </c>
      <c r="C13" s="54">
        <f ca="1">IFERROR((OFFSET('Exercise Plan'!R76,(COLUMN()-2)*40,0)-OFFSET('Exercise Plan'!R76,(COLUMN()-3)*40,0))/OFFSET('Exercise Plan'!R76,(COLUMN()-3)*40,0)+1,"N/A")</f>
        <v>0</v>
      </c>
      <c r="D13" s="54" t="str">
        <f ca="1">IFERROR((OFFSET('Exercise Plan'!R17,(COLUMN()-2)*40,0)-OFFSET('Exercise Plan'!R17,(COLUMN()-3)*40,0))/OFFSET('Exercise Plan'!R17,(COLUMN()-3)*40,0)+1,"N/A")</f>
        <v>N/A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9.5" customHeight="1" x14ac:dyDescent="0.25">
      <c r="A14" s="55" t="s">
        <v>174</v>
      </c>
      <c r="B14" s="13">
        <f>'Exercise Plan'!R77</f>
        <v>9.3000000000000007</v>
      </c>
      <c r="C14" s="54">
        <f ca="1">IFERROR((OFFSET('Exercise Plan'!R77,(COLUMN()-2)*40,0)-OFFSET('Exercise Plan'!R77,(COLUMN()-3)*40,0))/OFFSET('Exercise Plan'!R77,(COLUMN()-3)*40,0)+1,"N/A")</f>
        <v>0</v>
      </c>
      <c r="D14" s="54" t="str">
        <f ca="1">IFERROR((OFFSET('Exercise Plan'!R18,(COLUMN()-2)*40,0)-OFFSET('Exercise Plan'!R18,(COLUMN()-3)*40,0))/OFFSET('Exercise Plan'!R18,(COLUMN()-3)*40,0)+1,"N/A")</f>
        <v>N/A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ht="19.5" customHeight="1" x14ac:dyDescent="0.25">
      <c r="A15" s="53" t="s">
        <v>177</v>
      </c>
      <c r="B15" s="13">
        <f>'Exercise Plan'!R78</f>
        <v>0</v>
      </c>
      <c r="C15" s="54" t="str">
        <f ca="1">IFERROR((OFFSET('Exercise Plan'!R78,(COLUMN()-2)*40,0)-OFFSET('Exercise Plan'!R78,(COLUMN()-3)*40,0))/OFFSET('Exercise Plan'!R78,(COLUMN()-3)*40,0)+1,"N/A")</f>
        <v>N/A</v>
      </c>
      <c r="D15" s="54" t="str">
        <f ca="1">IFERROR((OFFSET('Exercise Plan'!R19,(COLUMN()-2)*40,0)-OFFSET('Exercise Plan'!R19,(COLUMN()-3)*40,0))/OFFSET('Exercise Plan'!R19,(COLUMN()-3)*40,0)+1,"N/A")</f>
        <v>N/A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19.5" customHeight="1" x14ac:dyDescent="0.25">
      <c r="A16" s="55" t="s">
        <v>179</v>
      </c>
      <c r="B16" s="13">
        <f>'Exercise Plan'!R79</f>
        <v>16.7</v>
      </c>
      <c r="C16" s="54">
        <f ca="1">IFERROR((OFFSET('Exercise Plan'!R79,(COLUMN()-2)*40,0)-OFFSET('Exercise Plan'!R79,(COLUMN()-3)*40,0))/OFFSET('Exercise Plan'!R79,(COLUMN()-3)*40,0)+1,"N/A")</f>
        <v>0</v>
      </c>
      <c r="D16" s="54" t="str">
        <f ca="1">IFERROR((OFFSET('Exercise Plan'!R20,(COLUMN()-2)*40,0)-OFFSET('Exercise Plan'!R20,(COLUMN()-3)*40,0))/OFFSET('Exercise Plan'!R20,(COLUMN()-3)*40,0)+1,"N/A")</f>
        <v>N/A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ht="19.5" customHeight="1" x14ac:dyDescent="0.25">
      <c r="A17" s="53" t="s">
        <v>181</v>
      </c>
      <c r="B17" s="13">
        <f>'Exercise Plan'!R80</f>
        <v>20</v>
      </c>
      <c r="C17" s="54">
        <f ca="1">IFERROR((OFFSET('Exercise Plan'!R80,(COLUMN()-2)*40,0)-OFFSET('Exercise Plan'!R80,(COLUMN()-3)*40,0))/OFFSET('Exercise Plan'!R80,(COLUMN()-3)*40,0)+1,"N/A")</f>
        <v>0</v>
      </c>
      <c r="D17" s="54" t="str">
        <f ca="1">IFERROR((OFFSET('Exercise Plan'!R21,(COLUMN()-2)*40,0)-OFFSET('Exercise Plan'!R21,(COLUMN()-3)*40,0))/OFFSET('Exercise Plan'!R21,(COLUMN()-3)*40,0)+1,"N/A")</f>
        <v>N/A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9.5" customHeight="1" x14ac:dyDescent="0.25">
      <c r="A18" s="55" t="s">
        <v>183</v>
      </c>
      <c r="B18" s="13">
        <f>'Exercise Plan'!R81</f>
        <v>0</v>
      </c>
      <c r="C18" s="54" t="str">
        <f ca="1">IFERROR((OFFSET('Exercise Plan'!R81,(COLUMN()-2)*40,0)-OFFSET('Exercise Plan'!R81,(COLUMN()-3)*40,0))/OFFSET('Exercise Plan'!R81,(COLUMN()-3)*40,0)+1,"N/A")</f>
        <v>N/A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ht="33" customHeight="1" x14ac:dyDescent="0.25">
      <c r="A19" s="53" t="s">
        <v>210</v>
      </c>
      <c r="B19" s="13" t="e">
        <f>#REF!</f>
        <v>#REF!</v>
      </c>
      <c r="C19" s="54" t="str">
        <f ca="1">IFERROR(((OFFSET(#REF!,40,0)-#REF!)/#REF!)+1,"N/A")</f>
        <v>N/A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x14ac:dyDescent="0.25">
      <c r="A20" s="55" t="s">
        <v>213</v>
      </c>
      <c r="B20" s="13" t="e">
        <f>#REF!</f>
        <v>#REF!</v>
      </c>
      <c r="C20" s="54" t="str">
        <f ca="1">IFERROR(((OFFSET(#REF!,40,0)-#REF!)/#REF!)+1,"N/A")</f>
        <v>N/A</v>
      </c>
    </row>
    <row r="21" spans="1:25" ht="15.75" customHeight="1" x14ac:dyDescent="0.25">
      <c r="A21" s="53" t="s">
        <v>215</v>
      </c>
      <c r="B21" s="13" t="e">
        <f>#REF!</f>
        <v>#REF!</v>
      </c>
      <c r="C21" s="54" t="str">
        <f ca="1">IFERROR(((OFFSET(#REF!,40,0)-#REF!)/#REF!)+1,"N/A")</f>
        <v>N/A</v>
      </c>
    </row>
    <row r="22" spans="1:25" ht="15.75" customHeight="1" x14ac:dyDescent="0.25">
      <c r="A22" s="55" t="s">
        <v>217</v>
      </c>
      <c r="B22" s="13" t="e">
        <f>#REF!</f>
        <v>#REF!</v>
      </c>
      <c r="C22" s="54" t="str">
        <f ca="1">IFERROR(((OFFSET(#REF!,40,0)-#REF!)/#REF!)+1,"N/A")</f>
        <v>N/A</v>
      </c>
    </row>
    <row r="23" spans="1:25" ht="15.75" customHeight="1" x14ac:dyDescent="0.25">
      <c r="A23" s="53" t="s">
        <v>219</v>
      </c>
      <c r="B23" s="13" t="e">
        <f>#REF!</f>
        <v>#REF!</v>
      </c>
      <c r="C23" s="54" t="str">
        <f ca="1">IFERROR(((OFFSET(#REF!,40,0)-#REF!)/#REF!)+1,"N/A")</f>
        <v>N/A</v>
      </c>
    </row>
    <row r="24" spans="1:25" ht="15.75" customHeight="1" x14ac:dyDescent="0.25">
      <c r="A24" s="55" t="s">
        <v>221</v>
      </c>
      <c r="B24" s="13" t="e">
        <f>#REF!</f>
        <v>#REF!</v>
      </c>
      <c r="C24" s="54" t="str">
        <f ca="1">IFERROR(((OFFSET(#REF!,40,0)-#REF!)/#REF!)+1,"N/A")</f>
        <v>N/A</v>
      </c>
    </row>
    <row r="25" spans="1:25" ht="15.75" customHeight="1" x14ac:dyDescent="0.25">
      <c r="A25" s="53" t="s">
        <v>223</v>
      </c>
      <c r="B25" s="13" t="e">
        <f>#REF!</f>
        <v>#REF!</v>
      </c>
      <c r="C25" s="54" t="str">
        <f ca="1">IFERROR(((OFFSET(#REF!,40,0)-#REF!)/#REF!)+1,"N/A")</f>
        <v>N/A</v>
      </c>
    </row>
    <row r="26" spans="1:25" ht="15.75" customHeight="1" x14ac:dyDescent="0.25">
      <c r="A26" s="55" t="s">
        <v>243</v>
      </c>
      <c r="B26" s="13" t="e">
        <f>#REF!</f>
        <v>#REF!</v>
      </c>
      <c r="C26" s="54" t="str">
        <f ca="1">IFERROR(((OFFSET(#REF!,40,0)-#REF!)/#REF!)+1,"N/A")</f>
        <v>N/A</v>
      </c>
    </row>
    <row r="27" spans="1:25" ht="15.75" customHeight="1" x14ac:dyDescent="0.25">
      <c r="A27" s="53" t="s">
        <v>245</v>
      </c>
      <c r="B27" s="13" t="e">
        <f>#REF!</f>
        <v>#REF!</v>
      </c>
      <c r="C27" s="54" t="str">
        <f ca="1">IFERROR(((OFFSET(#REF!,40,0)-#REF!)/#REF!)+1,"N/A")</f>
        <v>N/A</v>
      </c>
    </row>
    <row r="28" spans="1:25" ht="15.75" customHeight="1" x14ac:dyDescent="0.25">
      <c r="A28" s="55" t="s">
        <v>247</v>
      </c>
      <c r="B28" s="13" t="e">
        <f>#REF!</f>
        <v>#REF!</v>
      </c>
      <c r="C28" s="54" t="str">
        <f ca="1">IFERROR(((OFFSET(#REF!,40,0)-#REF!)/#REF!)+1,"N/A")</f>
        <v>N/A</v>
      </c>
    </row>
    <row r="29" spans="1:25" ht="15.75" customHeight="1" x14ac:dyDescent="0.25">
      <c r="A29" s="53" t="s">
        <v>249</v>
      </c>
      <c r="B29" s="13" t="e">
        <f>#REF!</f>
        <v>#REF!</v>
      </c>
      <c r="C29" s="54" t="str">
        <f ca="1">IFERROR(((OFFSET(#REF!,40,0)-#REF!)/#REF!)+1,"N/A")</f>
        <v>N/A</v>
      </c>
    </row>
    <row r="30" spans="1:25" ht="15.75" customHeight="1" x14ac:dyDescent="0.25">
      <c r="A30" s="55" t="s">
        <v>251</v>
      </c>
      <c r="B30" s="13" t="e">
        <f>#REF!</f>
        <v>#REF!</v>
      </c>
      <c r="C30" s="54" t="str">
        <f ca="1">IFERROR(((OFFSET(#REF!,40,0)-#REF!)/#REF!)+1,"N/A")</f>
        <v>N/A</v>
      </c>
    </row>
    <row r="31" spans="1:25" ht="15.75" customHeight="1" x14ac:dyDescent="0.25">
      <c r="A31" s="53" t="s">
        <v>253</v>
      </c>
      <c r="B31" s="13" t="e">
        <f>#REF!</f>
        <v>#REF!</v>
      </c>
      <c r="C31" s="54" t="str">
        <f ca="1">IFERROR(((OFFSET(#REF!,40,0)-#REF!)/#REF!)+1,"N/A")</f>
        <v>N/A</v>
      </c>
    </row>
    <row r="32" spans="1:25" ht="15.75" customHeight="1" x14ac:dyDescent="0.25">
      <c r="A32" s="55" t="s">
        <v>255</v>
      </c>
      <c r="B32" s="13" t="e">
        <f>#REF!</f>
        <v>#REF!</v>
      </c>
      <c r="C32" s="54" t="str">
        <f ca="1">IFERROR(((OFFSET('Exercise Plan'!R81,40,0)-'Exercise Plan'!R81)/'Exercise Plan'!R81)+1,"N/A")</f>
        <v>N/A</v>
      </c>
    </row>
    <row r="33" spans="1:3" ht="15.75" customHeight="1" x14ac:dyDescent="0.25">
      <c r="A33" s="53" t="s">
        <v>277</v>
      </c>
      <c r="B33" s="13" t="e">
        <f>#REF!</f>
        <v>#REF!</v>
      </c>
      <c r="C33" s="54" t="str">
        <f ca="1">IFERROR(((OFFSET(#REF!,40,0)-#REF!)/#REF!)+1,"N/A")</f>
        <v>N/A</v>
      </c>
    </row>
    <row r="34" spans="1:3" ht="15.75" customHeight="1" x14ac:dyDescent="0.25">
      <c r="A34" s="55" t="s">
        <v>279</v>
      </c>
      <c r="B34" s="13" t="e">
        <f>#REF!</f>
        <v>#REF!</v>
      </c>
      <c r="C34" s="54" t="str">
        <f ca="1">IFERROR(((OFFSET(#REF!,40,0)-#REF!)/#REF!)+1,"N/A")</f>
        <v>N/A</v>
      </c>
    </row>
    <row r="35" spans="1:3" ht="15.75" customHeight="1" x14ac:dyDescent="0.25">
      <c r="A35" s="53" t="s">
        <v>281</v>
      </c>
      <c r="B35" s="13" t="e">
        <f>#REF!</f>
        <v>#REF!</v>
      </c>
      <c r="C35" s="54" t="str">
        <f ca="1">IFERROR(((OFFSET(#REF!,40,0)-#REF!)/#REF!)+1,"N/A")</f>
        <v>N/A</v>
      </c>
    </row>
    <row r="36" spans="1:3" ht="15.75" customHeight="1" x14ac:dyDescent="0.25">
      <c r="A36" s="55" t="s">
        <v>284</v>
      </c>
      <c r="B36" s="13" t="e">
        <f>#REF!</f>
        <v>#REF!</v>
      </c>
      <c r="C36" s="54" t="str">
        <f ca="1">IFERROR(((OFFSET(#REF!,40,0)-#REF!)/#REF!)+1,"N/A")</f>
        <v>N/A</v>
      </c>
    </row>
    <row r="37" spans="1:3" ht="15.75" customHeight="1" x14ac:dyDescent="0.25">
      <c r="A37" s="53" t="s">
        <v>286</v>
      </c>
      <c r="B37" s="13" t="e">
        <f>#REF!</f>
        <v>#REF!</v>
      </c>
      <c r="C37" s="54" t="str">
        <f ca="1">IFERROR(((OFFSET(#REF!,40,0)-#REF!)/#REF!)+1,"N/A")</f>
        <v>N/A</v>
      </c>
    </row>
    <row r="38" spans="1:3" ht="15.75" customHeight="1" x14ac:dyDescent="0.25">
      <c r="A38" s="55" t="s">
        <v>288</v>
      </c>
      <c r="B38" s="13" t="e">
        <f>#REF!</f>
        <v>#REF!</v>
      </c>
      <c r="C38" s="54" t="str">
        <f ca="1">IFERROR(((OFFSET(#REF!,40,0)-#REF!)/#REF!)+1,"N/A")</f>
        <v>N/A</v>
      </c>
    </row>
    <row r="39" spans="1:3" ht="15.75" customHeight="1" x14ac:dyDescent="0.25">
      <c r="A39" s="53" t="s">
        <v>290</v>
      </c>
      <c r="B39" s="13" t="e">
        <f>#REF!</f>
        <v>#REF!</v>
      </c>
      <c r="C39" s="54" t="str">
        <f ca="1">IFERROR(((OFFSET(#REF!,40,0)-#REF!)/#REF!)+1,"N/A")</f>
        <v>N/A</v>
      </c>
    </row>
    <row r="40" spans="1:3" ht="15.75" customHeight="1" x14ac:dyDescent="0.25">
      <c r="A40" s="55" t="s">
        <v>292</v>
      </c>
      <c r="B40" s="13" t="e">
        <f>#REF!</f>
        <v>#REF!</v>
      </c>
      <c r="C40" s="54" t="str">
        <f ca="1">IFERROR(((OFFSET(#REF!,40,0)-#REF!)/#REF!)+1,"N/A")</f>
        <v>N/A</v>
      </c>
    </row>
    <row r="41" spans="1:3" ht="15.75" customHeight="1" x14ac:dyDescent="0.25">
      <c r="A41" s="53" t="s">
        <v>312</v>
      </c>
      <c r="B41" s="13" t="e">
        <f>#REF!</f>
        <v>#REF!</v>
      </c>
      <c r="C41" s="54" t="str">
        <f ca="1">IFERROR(((OFFSET(#REF!,40,0)-#REF!)/#REF!)+1,"N/A")</f>
        <v>N/A</v>
      </c>
    </row>
    <row r="42" spans="1:3" ht="15.75" customHeight="1" x14ac:dyDescent="0.25">
      <c r="A42" s="55" t="s">
        <v>314</v>
      </c>
      <c r="B42" s="13" t="e">
        <f>#REF!</f>
        <v>#REF!</v>
      </c>
      <c r="C42" s="54" t="str">
        <f ca="1">IFERROR(((OFFSET(#REF!,40,0)-#REF!)/#REF!)+1,"N/A")</f>
        <v>N/A</v>
      </c>
    </row>
    <row r="43" spans="1:3" ht="15.75" customHeight="1" x14ac:dyDescent="0.25">
      <c r="A43" s="53" t="s">
        <v>316</v>
      </c>
      <c r="B43" s="13" t="e">
        <f>#REF!</f>
        <v>#REF!</v>
      </c>
      <c r="C43" s="54" t="str">
        <f ca="1">IFERROR(((OFFSET(#REF!,40,0)-#REF!)/#REF!)+1,"N/A")</f>
        <v>N/A</v>
      </c>
    </row>
    <row r="44" spans="1:3" ht="15.75" customHeight="1" x14ac:dyDescent="0.25">
      <c r="A44" s="55" t="s">
        <v>319</v>
      </c>
      <c r="B44" s="13" t="e">
        <f>#REF!</f>
        <v>#REF!</v>
      </c>
      <c r="C44" s="54" t="str">
        <f ca="1">IFERROR(((OFFSET(#REF!,40,0)-#REF!)/#REF!)+1,"N/A")</f>
        <v>N/A</v>
      </c>
    </row>
    <row r="45" spans="1:3" ht="15.75" customHeight="1" x14ac:dyDescent="0.25">
      <c r="A45" s="53" t="s">
        <v>321</v>
      </c>
      <c r="B45" s="13" t="e">
        <f>#REF!</f>
        <v>#REF!</v>
      </c>
      <c r="C45" s="54" t="str">
        <f ca="1">IFERROR(((OFFSET(#REF!,40,0)-#REF!)/#REF!)+1,"N/A")</f>
        <v>N/A</v>
      </c>
    </row>
    <row r="46" spans="1:3" ht="15.75" customHeight="1" x14ac:dyDescent="0.25">
      <c r="A46" s="55" t="s">
        <v>323</v>
      </c>
      <c r="B46" s="13" t="e">
        <f>#REF!</f>
        <v>#REF!</v>
      </c>
      <c r="C46" s="54" t="str">
        <f ca="1">IFERROR(((OFFSET(#REF!,40,0)-#REF!)/#REF!)+1,"N/A")</f>
        <v>N/A</v>
      </c>
    </row>
    <row r="47" spans="1:3" ht="15.75" customHeight="1" x14ac:dyDescent="0.25">
      <c r="A47" s="53" t="s">
        <v>325</v>
      </c>
      <c r="B47" s="13" t="e">
        <f>#REF!</f>
        <v>#REF!</v>
      </c>
      <c r="C47" s="54" t="str">
        <f ca="1">IFERROR(((OFFSET(#REF!,40,0)-#REF!)/#REF!)+1,"N/A")</f>
        <v>N/A</v>
      </c>
    </row>
    <row r="48" spans="1:3" ht="15.75" customHeight="1" x14ac:dyDescent="0.25">
      <c r="A48" s="55" t="s">
        <v>327</v>
      </c>
      <c r="B48" s="13" t="e">
        <f>#REF!</f>
        <v>#REF!</v>
      </c>
      <c r="C48" s="54" t="str">
        <f ca="1">IFERROR(((OFFSET(#REF!,40,0)-#REF!)/#REF!)+1,"N/A")</f>
        <v>N/A</v>
      </c>
    </row>
    <row r="49" spans="1:3" ht="15.75" customHeight="1" x14ac:dyDescent="0.25">
      <c r="A49" s="6"/>
      <c r="C49" s="51"/>
    </row>
    <row r="50" spans="1:3" ht="15.75" customHeight="1" x14ac:dyDescent="0.25">
      <c r="A50" s="6"/>
      <c r="C50" s="51"/>
    </row>
    <row r="51" spans="1:3" ht="15.75" customHeight="1" x14ac:dyDescent="0.25">
      <c r="A51" s="6"/>
      <c r="C51" s="51"/>
    </row>
    <row r="52" spans="1:3" ht="15.75" customHeight="1" x14ac:dyDescent="0.25">
      <c r="A52" s="6"/>
      <c r="C52" s="51"/>
    </row>
    <row r="53" spans="1:3" ht="15.75" customHeight="1" x14ac:dyDescent="0.25">
      <c r="A53" s="6"/>
      <c r="C53" s="51"/>
    </row>
    <row r="54" spans="1:3" ht="15.75" customHeight="1" x14ac:dyDescent="0.25">
      <c r="A54" s="6"/>
      <c r="C54" s="51"/>
    </row>
    <row r="55" spans="1:3" ht="15.75" customHeight="1" x14ac:dyDescent="0.25">
      <c r="A55" s="6"/>
      <c r="C55" s="51"/>
    </row>
    <row r="56" spans="1:3" ht="15.75" customHeight="1" x14ac:dyDescent="0.25">
      <c r="A56" s="6"/>
      <c r="C56" s="51"/>
    </row>
    <row r="57" spans="1:3" ht="15.75" customHeight="1" x14ac:dyDescent="0.25">
      <c r="A57" s="6"/>
      <c r="C57" s="51"/>
    </row>
    <row r="58" spans="1:3" ht="15.75" customHeight="1" x14ac:dyDescent="0.25">
      <c r="A58" s="6"/>
      <c r="C58" s="51"/>
    </row>
    <row r="59" spans="1:3" ht="15.75" customHeight="1" x14ac:dyDescent="0.25">
      <c r="A59" s="6"/>
      <c r="C59" s="51"/>
    </row>
    <row r="60" spans="1:3" ht="15.75" customHeight="1" x14ac:dyDescent="0.25">
      <c r="A60" s="6"/>
      <c r="C60" s="51"/>
    </row>
    <row r="61" spans="1:3" ht="15.75" customHeight="1" x14ac:dyDescent="0.25">
      <c r="A61" s="6"/>
      <c r="C61" s="51"/>
    </row>
    <row r="62" spans="1:3" ht="15.75" customHeight="1" x14ac:dyDescent="0.25">
      <c r="A62" s="6"/>
      <c r="C62" s="51"/>
    </row>
    <row r="63" spans="1:3" ht="15.75" customHeight="1" x14ac:dyDescent="0.25">
      <c r="A63" s="6"/>
      <c r="C63" s="51"/>
    </row>
    <row r="64" spans="1:3" ht="15.75" customHeight="1" x14ac:dyDescent="0.25">
      <c r="A64" s="6"/>
      <c r="C64" s="51"/>
    </row>
    <row r="65" spans="1:3" ht="15.75" customHeight="1" x14ac:dyDescent="0.25">
      <c r="A65" s="6"/>
      <c r="C65" s="51"/>
    </row>
    <row r="66" spans="1:3" ht="15.75" customHeight="1" x14ac:dyDescent="0.25">
      <c r="A66" s="6"/>
      <c r="C66" s="51"/>
    </row>
    <row r="67" spans="1:3" ht="15.75" customHeight="1" x14ac:dyDescent="0.25">
      <c r="A67" s="6"/>
      <c r="C67" s="51"/>
    </row>
    <row r="68" spans="1:3" ht="15.75" customHeight="1" x14ac:dyDescent="0.25">
      <c r="A68" s="6"/>
      <c r="C68" s="51"/>
    </row>
    <row r="69" spans="1:3" ht="15.75" customHeight="1" x14ac:dyDescent="0.25">
      <c r="A69" s="6"/>
      <c r="C69" s="51"/>
    </row>
    <row r="70" spans="1:3" ht="15.75" customHeight="1" x14ac:dyDescent="0.25">
      <c r="A70" s="6"/>
      <c r="C70" s="51"/>
    </row>
    <row r="71" spans="1:3" ht="15.75" customHeight="1" x14ac:dyDescent="0.25">
      <c r="A71" s="6"/>
      <c r="C71" s="51"/>
    </row>
    <row r="72" spans="1:3" ht="15.75" customHeight="1" x14ac:dyDescent="0.25">
      <c r="A72" s="6"/>
      <c r="C72" s="51"/>
    </row>
    <row r="73" spans="1:3" ht="15.75" customHeight="1" x14ac:dyDescent="0.25">
      <c r="A73" s="6"/>
      <c r="C73" s="51"/>
    </row>
    <row r="74" spans="1:3" ht="15.75" customHeight="1" x14ac:dyDescent="0.25">
      <c r="A74" s="6"/>
      <c r="C74" s="51"/>
    </row>
    <row r="75" spans="1:3" ht="15.75" customHeight="1" x14ac:dyDescent="0.25">
      <c r="A75" s="6"/>
      <c r="C75" s="51"/>
    </row>
    <row r="76" spans="1:3" ht="15.75" customHeight="1" x14ac:dyDescent="0.25">
      <c r="A76" s="6"/>
      <c r="C76" s="51"/>
    </row>
    <row r="77" spans="1:3" ht="15.75" customHeight="1" x14ac:dyDescent="0.25">
      <c r="A77" s="6"/>
      <c r="C77" s="51"/>
    </row>
    <row r="78" spans="1:3" ht="15.75" customHeight="1" x14ac:dyDescent="0.25">
      <c r="A78" s="6"/>
      <c r="C78" s="51"/>
    </row>
    <row r="79" spans="1:3" ht="15.75" customHeight="1" x14ac:dyDescent="0.25">
      <c r="A79" s="6"/>
      <c r="C79" s="51"/>
    </row>
    <row r="80" spans="1:3" ht="15.75" customHeight="1" x14ac:dyDescent="0.25">
      <c r="A80" s="6"/>
      <c r="C80" s="51"/>
    </row>
    <row r="81" spans="1:3" ht="15.75" customHeight="1" x14ac:dyDescent="0.25">
      <c r="A81" s="6"/>
      <c r="C81" s="51"/>
    </row>
    <row r="82" spans="1:3" ht="15.75" customHeight="1" x14ac:dyDescent="0.25">
      <c r="A82" s="6"/>
      <c r="C82" s="51"/>
    </row>
    <row r="83" spans="1:3" ht="15.75" customHeight="1" x14ac:dyDescent="0.25">
      <c r="A83" s="6"/>
      <c r="C83" s="51"/>
    </row>
    <row r="84" spans="1:3" ht="15.75" customHeight="1" x14ac:dyDescent="0.25">
      <c r="A84" s="6"/>
      <c r="C84" s="51"/>
    </row>
    <row r="85" spans="1:3" ht="15.75" customHeight="1" x14ac:dyDescent="0.25">
      <c r="A85" s="6"/>
      <c r="C85" s="51"/>
    </row>
    <row r="86" spans="1:3" ht="15.75" customHeight="1" x14ac:dyDescent="0.25">
      <c r="A86" s="6"/>
      <c r="C86" s="51"/>
    </row>
    <row r="87" spans="1:3" ht="15.75" customHeight="1" x14ac:dyDescent="0.25">
      <c r="A87" s="6"/>
      <c r="C87" s="51"/>
    </row>
    <row r="88" spans="1:3" ht="15.75" customHeight="1" x14ac:dyDescent="0.25">
      <c r="A88" s="6"/>
      <c r="C88" s="51"/>
    </row>
    <row r="89" spans="1:3" ht="15.75" customHeight="1" x14ac:dyDescent="0.25">
      <c r="A89" s="6"/>
      <c r="C89" s="51"/>
    </row>
    <row r="90" spans="1:3" ht="15.75" customHeight="1" x14ac:dyDescent="0.25">
      <c r="A90" s="6"/>
      <c r="C90" s="51"/>
    </row>
    <row r="91" spans="1:3" ht="15.75" customHeight="1" x14ac:dyDescent="0.25">
      <c r="A91" s="6"/>
      <c r="C91" s="51"/>
    </row>
    <row r="92" spans="1:3" ht="15.75" customHeight="1" x14ac:dyDescent="0.25">
      <c r="A92" s="6"/>
      <c r="C92" s="51"/>
    </row>
    <row r="93" spans="1:3" ht="15.75" customHeight="1" x14ac:dyDescent="0.25">
      <c r="A93" s="6"/>
      <c r="C93" s="51"/>
    </row>
    <row r="94" spans="1:3" ht="15.75" customHeight="1" x14ac:dyDescent="0.25">
      <c r="A94" s="6"/>
      <c r="C94" s="51"/>
    </row>
    <row r="95" spans="1:3" ht="15.75" customHeight="1" x14ac:dyDescent="0.25">
      <c r="A95" s="6"/>
      <c r="C95" s="51"/>
    </row>
    <row r="96" spans="1:3" ht="15.75" customHeight="1" x14ac:dyDescent="0.25">
      <c r="A96" s="6"/>
      <c r="C96" s="51"/>
    </row>
    <row r="97" spans="1:3" ht="15.75" customHeight="1" x14ac:dyDescent="0.25">
      <c r="A97" s="6"/>
      <c r="C97" s="51"/>
    </row>
    <row r="98" spans="1:3" ht="15.75" customHeight="1" x14ac:dyDescent="0.25">
      <c r="A98" s="6"/>
      <c r="C98" s="51"/>
    </row>
    <row r="99" spans="1:3" ht="15.75" customHeight="1" x14ac:dyDescent="0.25">
      <c r="A99" s="6"/>
      <c r="C99" s="51"/>
    </row>
    <row r="100" spans="1:3" ht="15.75" customHeight="1" x14ac:dyDescent="0.25">
      <c r="A100" s="6"/>
      <c r="C100" s="51"/>
    </row>
    <row r="101" spans="1:3" ht="15.75" customHeight="1" x14ac:dyDescent="0.25">
      <c r="A101" s="6"/>
      <c r="C101" s="51"/>
    </row>
    <row r="102" spans="1:3" ht="15.75" customHeight="1" x14ac:dyDescent="0.25">
      <c r="A102" s="6"/>
      <c r="C102" s="51"/>
    </row>
    <row r="103" spans="1:3" ht="15.75" customHeight="1" x14ac:dyDescent="0.25">
      <c r="A103" s="6"/>
      <c r="C103" s="51"/>
    </row>
    <row r="104" spans="1:3" ht="15.75" customHeight="1" x14ac:dyDescent="0.25">
      <c r="A104" s="6"/>
      <c r="C104" s="51"/>
    </row>
    <row r="105" spans="1:3" ht="15.75" customHeight="1" x14ac:dyDescent="0.25">
      <c r="A105" s="6"/>
      <c r="C105" s="51"/>
    </row>
    <row r="106" spans="1:3" ht="15.75" customHeight="1" x14ac:dyDescent="0.25">
      <c r="A106" s="6"/>
      <c r="C106" s="51"/>
    </row>
    <row r="107" spans="1:3" ht="15.75" customHeight="1" x14ac:dyDescent="0.25">
      <c r="A107" s="6"/>
      <c r="C107" s="51"/>
    </row>
    <row r="108" spans="1:3" ht="15.75" customHeight="1" x14ac:dyDescent="0.25">
      <c r="A108" s="6"/>
      <c r="C108" s="51"/>
    </row>
    <row r="109" spans="1:3" ht="15.75" customHeight="1" x14ac:dyDescent="0.25">
      <c r="A109" s="6"/>
      <c r="C109" s="51"/>
    </row>
    <row r="110" spans="1:3" ht="15.75" customHeight="1" x14ac:dyDescent="0.25">
      <c r="A110" s="6"/>
      <c r="C110" s="51"/>
    </row>
    <row r="111" spans="1:3" ht="15.75" customHeight="1" x14ac:dyDescent="0.25">
      <c r="A111" s="6"/>
      <c r="C111" s="51"/>
    </row>
    <row r="112" spans="1:3" ht="15.75" customHeight="1" x14ac:dyDescent="0.25">
      <c r="A112" s="6"/>
      <c r="C112" s="51"/>
    </row>
    <row r="113" spans="1:3" ht="15.75" customHeight="1" x14ac:dyDescent="0.25">
      <c r="A113" s="6"/>
      <c r="C113" s="51"/>
    </row>
    <row r="114" spans="1:3" ht="15.75" customHeight="1" x14ac:dyDescent="0.25">
      <c r="A114" s="6"/>
      <c r="C114" s="51"/>
    </row>
    <row r="115" spans="1:3" ht="15.75" customHeight="1" x14ac:dyDescent="0.25">
      <c r="A115" s="6"/>
      <c r="C115" s="51"/>
    </row>
    <row r="116" spans="1:3" ht="15.75" customHeight="1" x14ac:dyDescent="0.25">
      <c r="A116" s="6"/>
      <c r="C116" s="51"/>
    </row>
    <row r="117" spans="1:3" ht="15.75" customHeight="1" x14ac:dyDescent="0.25">
      <c r="A117" s="6"/>
      <c r="C117" s="51"/>
    </row>
    <row r="118" spans="1:3" ht="15.75" customHeight="1" x14ac:dyDescent="0.25">
      <c r="A118" s="6"/>
      <c r="C118" s="51"/>
    </row>
    <row r="119" spans="1:3" ht="15.75" customHeight="1" x14ac:dyDescent="0.25">
      <c r="A119" s="6"/>
      <c r="C119" s="51"/>
    </row>
    <row r="120" spans="1:3" ht="15.75" customHeight="1" x14ac:dyDescent="0.25">
      <c r="A120" s="6"/>
      <c r="C120" s="51"/>
    </row>
    <row r="121" spans="1:3" ht="15.75" customHeight="1" x14ac:dyDescent="0.25">
      <c r="A121" s="6"/>
      <c r="C121" s="51"/>
    </row>
    <row r="122" spans="1:3" ht="15.75" customHeight="1" x14ac:dyDescent="0.25">
      <c r="A122" s="6"/>
      <c r="C122" s="51"/>
    </row>
    <row r="123" spans="1:3" ht="15.75" customHeight="1" x14ac:dyDescent="0.25">
      <c r="A123" s="6"/>
      <c r="C123" s="51"/>
    </row>
    <row r="124" spans="1:3" ht="15.75" customHeight="1" x14ac:dyDescent="0.25">
      <c r="A124" s="6"/>
      <c r="C124" s="51"/>
    </row>
    <row r="125" spans="1:3" ht="15.75" customHeight="1" x14ac:dyDescent="0.25">
      <c r="A125" s="6"/>
      <c r="C125" s="51"/>
    </row>
    <row r="126" spans="1:3" ht="15.75" customHeight="1" x14ac:dyDescent="0.25">
      <c r="A126" s="6"/>
      <c r="C126" s="51"/>
    </row>
    <row r="127" spans="1:3" ht="15.75" customHeight="1" x14ac:dyDescent="0.25">
      <c r="A127" s="6"/>
      <c r="C127" s="51"/>
    </row>
    <row r="128" spans="1:3" ht="15.75" customHeight="1" x14ac:dyDescent="0.25">
      <c r="A128" s="6"/>
      <c r="C128" s="51"/>
    </row>
    <row r="129" spans="1:3" ht="15.75" customHeight="1" x14ac:dyDescent="0.25">
      <c r="A129" s="6"/>
      <c r="C129" s="51"/>
    </row>
    <row r="130" spans="1:3" ht="15.75" customHeight="1" x14ac:dyDescent="0.25">
      <c r="A130" s="6"/>
      <c r="C130" s="51"/>
    </row>
    <row r="131" spans="1:3" ht="15.75" customHeight="1" x14ac:dyDescent="0.25">
      <c r="A131" s="6"/>
      <c r="C131" s="51"/>
    </row>
    <row r="132" spans="1:3" ht="15.75" customHeight="1" x14ac:dyDescent="0.25">
      <c r="A132" s="6"/>
      <c r="C132" s="51"/>
    </row>
    <row r="133" spans="1:3" ht="15.75" customHeight="1" x14ac:dyDescent="0.25">
      <c r="A133" s="6"/>
      <c r="C133" s="51"/>
    </row>
    <row r="134" spans="1:3" ht="15.75" customHeight="1" x14ac:dyDescent="0.25">
      <c r="A134" s="6"/>
      <c r="C134" s="51"/>
    </row>
    <row r="135" spans="1:3" ht="15.75" customHeight="1" x14ac:dyDescent="0.25">
      <c r="A135" s="6"/>
      <c r="C135" s="51"/>
    </row>
    <row r="136" spans="1:3" ht="15.75" customHeight="1" x14ac:dyDescent="0.25">
      <c r="A136" s="6"/>
      <c r="C136" s="51"/>
    </row>
    <row r="137" spans="1:3" ht="15.75" customHeight="1" x14ac:dyDescent="0.25">
      <c r="A137" s="6"/>
      <c r="C137" s="51"/>
    </row>
    <row r="138" spans="1:3" ht="15.75" customHeight="1" x14ac:dyDescent="0.25">
      <c r="A138" s="6"/>
      <c r="C138" s="51"/>
    </row>
    <row r="139" spans="1:3" ht="15.75" customHeight="1" x14ac:dyDescent="0.25">
      <c r="A139" s="6"/>
      <c r="C139" s="51"/>
    </row>
    <row r="140" spans="1:3" ht="15.75" customHeight="1" x14ac:dyDescent="0.25">
      <c r="A140" s="6"/>
      <c r="C140" s="51"/>
    </row>
    <row r="141" spans="1:3" ht="15.75" customHeight="1" x14ac:dyDescent="0.25">
      <c r="A141" s="6"/>
      <c r="C141" s="51"/>
    </row>
    <row r="142" spans="1:3" ht="15.75" customHeight="1" x14ac:dyDescent="0.25">
      <c r="A142" s="6"/>
      <c r="C142" s="51"/>
    </row>
    <row r="143" spans="1:3" ht="15.75" customHeight="1" x14ac:dyDescent="0.25">
      <c r="A143" s="6"/>
      <c r="C143" s="51"/>
    </row>
    <row r="144" spans="1:3" ht="15.75" customHeight="1" x14ac:dyDescent="0.25">
      <c r="A144" s="6"/>
      <c r="C144" s="51"/>
    </row>
    <row r="145" spans="1:3" ht="15.75" customHeight="1" x14ac:dyDescent="0.25">
      <c r="A145" s="6"/>
      <c r="C145" s="51"/>
    </row>
    <row r="146" spans="1:3" ht="15.75" customHeight="1" x14ac:dyDescent="0.25">
      <c r="A146" s="6"/>
      <c r="C146" s="51"/>
    </row>
    <row r="147" spans="1:3" ht="15.75" customHeight="1" x14ac:dyDescent="0.25">
      <c r="A147" s="6"/>
      <c r="C147" s="51"/>
    </row>
    <row r="148" spans="1:3" ht="15.75" customHeight="1" x14ac:dyDescent="0.25">
      <c r="A148" s="6"/>
      <c r="C148" s="51"/>
    </row>
    <row r="149" spans="1:3" ht="15.75" customHeight="1" x14ac:dyDescent="0.25">
      <c r="A149" s="6"/>
      <c r="C149" s="51"/>
    </row>
    <row r="150" spans="1:3" ht="15.75" customHeight="1" x14ac:dyDescent="0.25">
      <c r="A150" s="6"/>
      <c r="C150" s="51"/>
    </row>
    <row r="151" spans="1:3" ht="15.75" customHeight="1" x14ac:dyDescent="0.25">
      <c r="A151" s="6"/>
      <c r="C151" s="51"/>
    </row>
    <row r="152" spans="1:3" ht="15.75" customHeight="1" x14ac:dyDescent="0.25">
      <c r="A152" s="6"/>
      <c r="C152" s="51"/>
    </row>
    <row r="153" spans="1:3" ht="15.75" customHeight="1" x14ac:dyDescent="0.25">
      <c r="A153" s="6"/>
      <c r="C153" s="51"/>
    </row>
    <row r="154" spans="1:3" ht="15.75" customHeight="1" x14ac:dyDescent="0.25">
      <c r="A154" s="6"/>
      <c r="C154" s="51"/>
    </row>
    <row r="155" spans="1:3" ht="15.75" customHeight="1" x14ac:dyDescent="0.25">
      <c r="A155" s="6"/>
      <c r="C155" s="51"/>
    </row>
    <row r="156" spans="1:3" ht="15.75" customHeight="1" x14ac:dyDescent="0.25">
      <c r="A156" s="6"/>
      <c r="C156" s="51"/>
    </row>
    <row r="157" spans="1:3" ht="15.75" customHeight="1" x14ac:dyDescent="0.25">
      <c r="A157" s="6"/>
      <c r="C157" s="51"/>
    </row>
    <row r="158" spans="1:3" ht="15.75" customHeight="1" x14ac:dyDescent="0.25">
      <c r="A158" s="6"/>
      <c r="C158" s="51"/>
    </row>
    <row r="159" spans="1:3" ht="15.75" customHeight="1" x14ac:dyDescent="0.25">
      <c r="A159" s="6"/>
      <c r="C159" s="51"/>
    </row>
    <row r="160" spans="1:3" ht="15.75" customHeight="1" x14ac:dyDescent="0.25">
      <c r="A160" s="6"/>
      <c r="C160" s="51"/>
    </row>
    <row r="161" spans="1:3" ht="15.75" customHeight="1" x14ac:dyDescent="0.25">
      <c r="A161" s="6"/>
      <c r="C161" s="51"/>
    </row>
    <row r="162" spans="1:3" ht="15.75" customHeight="1" x14ac:dyDescent="0.25">
      <c r="A162" s="6"/>
      <c r="C162" s="51"/>
    </row>
    <row r="163" spans="1:3" ht="15.75" customHeight="1" x14ac:dyDescent="0.25">
      <c r="A163" s="6"/>
      <c r="C163" s="51"/>
    </row>
    <row r="164" spans="1:3" ht="15.75" customHeight="1" x14ac:dyDescent="0.25">
      <c r="A164" s="6"/>
      <c r="C164" s="51"/>
    </row>
    <row r="165" spans="1:3" ht="15.75" customHeight="1" x14ac:dyDescent="0.25">
      <c r="A165" s="6"/>
      <c r="C165" s="51"/>
    </row>
    <row r="166" spans="1:3" ht="15.75" customHeight="1" x14ac:dyDescent="0.25">
      <c r="A166" s="6"/>
      <c r="C166" s="51"/>
    </row>
    <row r="167" spans="1:3" ht="15.75" customHeight="1" x14ac:dyDescent="0.25">
      <c r="A167" s="6"/>
      <c r="C167" s="51"/>
    </row>
    <row r="168" spans="1:3" ht="15.75" customHeight="1" x14ac:dyDescent="0.25">
      <c r="A168" s="6"/>
      <c r="C168" s="51"/>
    </row>
    <row r="169" spans="1:3" ht="15.75" customHeight="1" x14ac:dyDescent="0.25">
      <c r="A169" s="6"/>
      <c r="C169" s="51"/>
    </row>
    <row r="170" spans="1:3" ht="15.75" customHeight="1" x14ac:dyDescent="0.25">
      <c r="A170" s="6"/>
      <c r="C170" s="51"/>
    </row>
    <row r="171" spans="1:3" ht="15.75" customHeight="1" x14ac:dyDescent="0.25">
      <c r="A171" s="6"/>
      <c r="C171" s="51"/>
    </row>
    <row r="172" spans="1:3" ht="15.75" customHeight="1" x14ac:dyDescent="0.25">
      <c r="A172" s="6"/>
      <c r="C172" s="51"/>
    </row>
    <row r="173" spans="1:3" ht="15.75" customHeight="1" x14ac:dyDescent="0.25">
      <c r="A173" s="6"/>
      <c r="C173" s="51"/>
    </row>
    <row r="174" spans="1:3" ht="15.75" customHeight="1" x14ac:dyDescent="0.25">
      <c r="A174" s="6"/>
      <c r="C174" s="51"/>
    </row>
    <row r="175" spans="1:3" ht="15.75" customHeight="1" x14ac:dyDescent="0.25">
      <c r="A175" s="6"/>
      <c r="C175" s="51"/>
    </row>
    <row r="176" spans="1:3" ht="15.75" customHeight="1" x14ac:dyDescent="0.25">
      <c r="A176" s="6"/>
      <c r="C176" s="51"/>
    </row>
    <row r="177" spans="1:3" ht="15.75" customHeight="1" x14ac:dyDescent="0.25">
      <c r="A177" s="6"/>
      <c r="C177" s="51"/>
    </row>
    <row r="178" spans="1:3" ht="15.75" customHeight="1" x14ac:dyDescent="0.25">
      <c r="A178" s="6"/>
      <c r="C178" s="51"/>
    </row>
    <row r="179" spans="1:3" ht="15.75" customHeight="1" x14ac:dyDescent="0.25">
      <c r="A179" s="6"/>
      <c r="C179" s="51"/>
    </row>
    <row r="180" spans="1:3" ht="15.75" customHeight="1" x14ac:dyDescent="0.25">
      <c r="A180" s="6"/>
      <c r="C180" s="51"/>
    </row>
    <row r="181" spans="1:3" ht="15.75" customHeight="1" x14ac:dyDescent="0.25">
      <c r="A181" s="6"/>
      <c r="C181" s="51"/>
    </row>
    <row r="182" spans="1:3" ht="15.75" customHeight="1" x14ac:dyDescent="0.25">
      <c r="A182" s="6"/>
      <c r="C182" s="51"/>
    </row>
    <row r="183" spans="1:3" ht="15.75" customHeight="1" x14ac:dyDescent="0.25">
      <c r="A183" s="6"/>
      <c r="C183" s="51"/>
    </row>
    <row r="184" spans="1:3" ht="15.75" customHeight="1" x14ac:dyDescent="0.25">
      <c r="A184" s="6"/>
      <c r="C184" s="51"/>
    </row>
    <row r="185" spans="1:3" ht="15.75" customHeight="1" x14ac:dyDescent="0.25">
      <c r="A185" s="6"/>
      <c r="C185" s="51"/>
    </row>
    <row r="186" spans="1:3" ht="15.75" customHeight="1" x14ac:dyDescent="0.25">
      <c r="A186" s="6"/>
      <c r="C186" s="51"/>
    </row>
    <row r="187" spans="1:3" ht="15.75" customHeight="1" x14ac:dyDescent="0.25">
      <c r="A187" s="6"/>
      <c r="C187" s="51"/>
    </row>
    <row r="188" spans="1:3" ht="15.75" customHeight="1" x14ac:dyDescent="0.25">
      <c r="A188" s="6"/>
      <c r="C188" s="51"/>
    </row>
    <row r="189" spans="1:3" ht="15.75" customHeight="1" x14ac:dyDescent="0.25">
      <c r="A189" s="6"/>
      <c r="C189" s="51"/>
    </row>
    <row r="190" spans="1:3" ht="15.75" customHeight="1" x14ac:dyDescent="0.25">
      <c r="A190" s="6"/>
      <c r="C190" s="51"/>
    </row>
    <row r="191" spans="1:3" ht="15.75" customHeight="1" x14ac:dyDescent="0.25">
      <c r="A191" s="6"/>
      <c r="C191" s="51"/>
    </row>
    <row r="192" spans="1:3" ht="15.75" customHeight="1" x14ac:dyDescent="0.25">
      <c r="A192" s="6"/>
      <c r="C192" s="51"/>
    </row>
    <row r="193" spans="1:3" ht="15.75" customHeight="1" x14ac:dyDescent="0.25">
      <c r="A193" s="6"/>
      <c r="C193" s="51"/>
    </row>
    <row r="194" spans="1:3" ht="15.75" customHeight="1" x14ac:dyDescent="0.25">
      <c r="A194" s="6"/>
      <c r="C194" s="51"/>
    </row>
    <row r="195" spans="1:3" ht="15.75" customHeight="1" x14ac:dyDescent="0.25">
      <c r="A195" s="6"/>
      <c r="C195" s="51"/>
    </row>
    <row r="196" spans="1:3" ht="15.75" customHeight="1" x14ac:dyDescent="0.25">
      <c r="A196" s="6"/>
      <c r="C196" s="51"/>
    </row>
    <row r="197" spans="1:3" ht="15.75" customHeight="1" x14ac:dyDescent="0.25">
      <c r="A197" s="6"/>
      <c r="C197" s="51"/>
    </row>
    <row r="198" spans="1:3" ht="15.75" customHeight="1" x14ac:dyDescent="0.25">
      <c r="A198" s="6"/>
      <c r="C198" s="51"/>
    </row>
    <row r="199" spans="1:3" ht="15.75" customHeight="1" x14ac:dyDescent="0.25">
      <c r="A199" s="6"/>
      <c r="C199" s="51"/>
    </row>
    <row r="200" spans="1:3" ht="15.75" customHeight="1" x14ac:dyDescent="0.25">
      <c r="A200" s="6"/>
      <c r="C200" s="51"/>
    </row>
    <row r="201" spans="1:3" ht="15.75" customHeight="1" x14ac:dyDescent="0.25">
      <c r="A201" s="6"/>
      <c r="C201" s="51"/>
    </row>
    <row r="202" spans="1:3" ht="15.75" customHeight="1" x14ac:dyDescent="0.25">
      <c r="A202" s="6"/>
      <c r="C202" s="51"/>
    </row>
    <row r="203" spans="1:3" ht="15.75" customHeight="1" x14ac:dyDescent="0.25">
      <c r="A203" s="6"/>
      <c r="C203" s="51"/>
    </row>
    <row r="204" spans="1:3" ht="15.75" customHeight="1" x14ac:dyDescent="0.25">
      <c r="A204" s="6"/>
      <c r="C204" s="51"/>
    </row>
    <row r="205" spans="1:3" ht="15.75" customHeight="1" x14ac:dyDescent="0.25">
      <c r="A205" s="6"/>
      <c r="C205" s="51"/>
    </row>
    <row r="206" spans="1:3" ht="15.75" customHeight="1" x14ac:dyDescent="0.25">
      <c r="A206" s="6"/>
      <c r="C206" s="51"/>
    </row>
    <row r="207" spans="1:3" ht="15.75" customHeight="1" x14ac:dyDescent="0.25">
      <c r="A207" s="6"/>
      <c r="C207" s="51"/>
    </row>
    <row r="208" spans="1:3" ht="15.75" customHeight="1" x14ac:dyDescent="0.25">
      <c r="A208" s="6"/>
      <c r="C208" s="51"/>
    </row>
    <row r="209" spans="1:3" ht="15.75" customHeight="1" x14ac:dyDescent="0.25">
      <c r="A209" s="6"/>
      <c r="C209" s="51"/>
    </row>
    <row r="210" spans="1:3" ht="15.75" customHeight="1" x14ac:dyDescent="0.25">
      <c r="A210" s="6"/>
      <c r="C210" s="51"/>
    </row>
    <row r="211" spans="1:3" ht="15.75" customHeight="1" x14ac:dyDescent="0.25">
      <c r="A211" s="6"/>
      <c r="C211" s="51"/>
    </row>
    <row r="212" spans="1:3" ht="15.75" customHeight="1" x14ac:dyDescent="0.25">
      <c r="A212" s="6"/>
      <c r="C212" s="51"/>
    </row>
    <row r="213" spans="1:3" ht="15.75" customHeight="1" x14ac:dyDescent="0.25">
      <c r="A213" s="6"/>
      <c r="C213" s="51"/>
    </row>
    <row r="214" spans="1:3" ht="15.75" customHeight="1" x14ac:dyDescent="0.25">
      <c r="A214" s="6"/>
      <c r="C214" s="51"/>
    </row>
    <row r="215" spans="1:3" ht="15.75" customHeight="1" x14ac:dyDescent="0.25">
      <c r="A215" s="6"/>
      <c r="C215" s="51"/>
    </row>
    <row r="216" spans="1:3" ht="15.75" customHeight="1" x14ac:dyDescent="0.25">
      <c r="A216" s="6"/>
      <c r="C216" s="51"/>
    </row>
    <row r="217" spans="1:3" ht="15.75" customHeight="1" x14ac:dyDescent="0.25">
      <c r="A217" s="6"/>
      <c r="C217" s="51"/>
    </row>
    <row r="218" spans="1:3" ht="15.75" customHeight="1" x14ac:dyDescent="0.25">
      <c r="A218" s="6"/>
      <c r="C218" s="51"/>
    </row>
    <row r="219" spans="1:3" ht="15.75" customHeight="1" x14ac:dyDescent="0.25">
      <c r="A219" s="6"/>
      <c r="C219" s="51"/>
    </row>
    <row r="220" spans="1:3" ht="15.75" customHeight="1" x14ac:dyDescent="0.25">
      <c r="A220" s="6"/>
      <c r="C220" s="51"/>
    </row>
    <row r="221" spans="1:3" ht="15.75" customHeight="1" x14ac:dyDescent="0.25">
      <c r="A221" s="6"/>
      <c r="C221" s="51"/>
    </row>
    <row r="222" spans="1:3" ht="15.75" customHeight="1" x14ac:dyDescent="0.25">
      <c r="A222" s="6"/>
      <c r="C222" s="51"/>
    </row>
    <row r="223" spans="1:3" ht="15.75" customHeight="1" x14ac:dyDescent="0.25">
      <c r="A223" s="6"/>
      <c r="C223" s="51"/>
    </row>
    <row r="224" spans="1:3" ht="15.75" customHeight="1" x14ac:dyDescent="0.25">
      <c r="A224" s="6"/>
      <c r="C224" s="51"/>
    </row>
    <row r="225" spans="1:3" ht="15.75" customHeight="1" x14ac:dyDescent="0.25">
      <c r="A225" s="6"/>
      <c r="C225" s="51"/>
    </row>
    <row r="226" spans="1:3" ht="15.75" customHeight="1" x14ac:dyDescent="0.25">
      <c r="A226" s="6"/>
      <c r="C226" s="51"/>
    </row>
    <row r="227" spans="1:3" ht="15.75" customHeight="1" x14ac:dyDescent="0.25">
      <c r="A227" s="6"/>
      <c r="C227" s="51"/>
    </row>
    <row r="228" spans="1:3" ht="15.75" customHeight="1" x14ac:dyDescent="0.25">
      <c r="A228" s="6"/>
      <c r="C228" s="51"/>
    </row>
    <row r="229" spans="1:3" ht="15.75" customHeight="1" x14ac:dyDescent="0.25">
      <c r="A229" s="6"/>
      <c r="C229" s="51"/>
    </row>
    <row r="230" spans="1:3" ht="15.75" customHeight="1" x14ac:dyDescent="0.25">
      <c r="A230" s="6"/>
      <c r="C230" s="51"/>
    </row>
    <row r="231" spans="1:3" ht="15.75" customHeight="1" x14ac:dyDescent="0.25">
      <c r="A231" s="6"/>
      <c r="C231" s="51"/>
    </row>
    <row r="232" spans="1:3" ht="15.75" customHeight="1" x14ac:dyDescent="0.25">
      <c r="A232" s="6"/>
      <c r="C232" s="51"/>
    </row>
    <row r="233" spans="1:3" ht="15.75" customHeight="1" x14ac:dyDescent="0.25">
      <c r="A233" s="6"/>
      <c r="C233" s="51"/>
    </row>
    <row r="234" spans="1:3" ht="15.75" customHeight="1" x14ac:dyDescent="0.25">
      <c r="A234" s="6"/>
      <c r="C234" s="51"/>
    </row>
    <row r="235" spans="1:3" ht="15.75" customHeight="1" x14ac:dyDescent="0.25">
      <c r="A235" s="6"/>
      <c r="C235" s="51"/>
    </row>
    <row r="236" spans="1:3" ht="15.75" customHeight="1" x14ac:dyDescent="0.25">
      <c r="A236" s="6"/>
      <c r="C236" s="51"/>
    </row>
    <row r="237" spans="1:3" ht="15.75" customHeight="1" x14ac:dyDescent="0.25">
      <c r="A237" s="6"/>
      <c r="C237" s="51"/>
    </row>
    <row r="238" spans="1:3" ht="15.75" customHeight="1" x14ac:dyDescent="0.25">
      <c r="A238" s="6"/>
      <c r="C238" s="51"/>
    </row>
    <row r="239" spans="1:3" ht="15.75" customHeight="1" x14ac:dyDescent="0.25">
      <c r="A239" s="6"/>
      <c r="C239" s="51"/>
    </row>
    <row r="240" spans="1:3" ht="15.75" customHeight="1" x14ac:dyDescent="0.25">
      <c r="A240" s="6"/>
      <c r="C240" s="51"/>
    </row>
    <row r="241" spans="1:3" ht="15.75" customHeight="1" x14ac:dyDescent="0.25">
      <c r="A241" s="6"/>
      <c r="C241" s="51"/>
    </row>
    <row r="242" spans="1:3" ht="15.75" customHeight="1" x14ac:dyDescent="0.25">
      <c r="A242" s="6"/>
      <c r="C242" s="51"/>
    </row>
    <row r="243" spans="1:3" ht="15.75" customHeight="1" x14ac:dyDescent="0.25">
      <c r="A243" s="6"/>
      <c r="C243" s="51"/>
    </row>
    <row r="244" spans="1:3" ht="15.75" customHeight="1" x14ac:dyDescent="0.25">
      <c r="A244" s="6"/>
      <c r="C244" s="51"/>
    </row>
    <row r="245" spans="1:3" ht="15.75" customHeight="1" x14ac:dyDescent="0.25">
      <c r="A245" s="6"/>
      <c r="C245" s="51"/>
    </row>
    <row r="246" spans="1:3" ht="15.75" customHeight="1" x14ac:dyDescent="0.25">
      <c r="A246" s="6"/>
      <c r="C246" s="51"/>
    </row>
    <row r="247" spans="1:3" ht="15.75" customHeight="1" x14ac:dyDescent="0.25">
      <c r="A247" s="6"/>
      <c r="C247" s="51"/>
    </row>
    <row r="248" spans="1:3" ht="15.75" customHeight="1" x14ac:dyDescent="0.25">
      <c r="A248" s="6"/>
      <c r="C248" s="51"/>
    </row>
    <row r="249" spans="1:3" ht="15.75" customHeight="1" x14ac:dyDescent="0.25">
      <c r="A249" s="6"/>
      <c r="C249" s="51"/>
    </row>
    <row r="250" spans="1:3" ht="15.75" customHeight="1" x14ac:dyDescent="0.25">
      <c r="A250" s="6"/>
      <c r="C250" s="51"/>
    </row>
    <row r="251" spans="1:3" ht="15.75" customHeight="1" x14ac:dyDescent="0.25">
      <c r="A251" s="6"/>
      <c r="C251" s="51"/>
    </row>
    <row r="252" spans="1:3" ht="15.75" customHeight="1" x14ac:dyDescent="0.25">
      <c r="A252" s="6"/>
      <c r="C252" s="51"/>
    </row>
    <row r="253" spans="1:3" ht="15.75" customHeight="1" x14ac:dyDescent="0.25">
      <c r="A253" s="6"/>
      <c r="C253" s="51"/>
    </row>
    <row r="254" spans="1:3" ht="15.75" customHeight="1" x14ac:dyDescent="0.25">
      <c r="A254" s="6"/>
      <c r="C254" s="51"/>
    </row>
    <row r="255" spans="1:3" ht="15.75" customHeight="1" x14ac:dyDescent="0.25">
      <c r="A255" s="6"/>
      <c r="C255" s="51"/>
    </row>
    <row r="256" spans="1:3" ht="15.75" customHeight="1" x14ac:dyDescent="0.25">
      <c r="A256" s="6"/>
      <c r="C256" s="51"/>
    </row>
    <row r="257" spans="1:3" ht="15.75" customHeight="1" x14ac:dyDescent="0.25">
      <c r="A257" s="6"/>
      <c r="C257" s="51"/>
    </row>
    <row r="258" spans="1:3" ht="15.75" customHeight="1" x14ac:dyDescent="0.25">
      <c r="A258" s="6"/>
      <c r="C258" s="51"/>
    </row>
    <row r="259" spans="1:3" ht="15.75" customHeight="1" x14ac:dyDescent="0.25">
      <c r="A259" s="6"/>
      <c r="C259" s="51"/>
    </row>
    <row r="260" spans="1:3" ht="15.75" customHeight="1" x14ac:dyDescent="0.25">
      <c r="A260" s="6"/>
      <c r="C260" s="51"/>
    </row>
    <row r="261" spans="1:3" ht="15.75" customHeight="1" x14ac:dyDescent="0.25">
      <c r="A261" s="6"/>
      <c r="C261" s="51"/>
    </row>
    <row r="262" spans="1:3" ht="15.75" customHeight="1" x14ac:dyDescent="0.25">
      <c r="A262" s="6"/>
      <c r="C262" s="51"/>
    </row>
    <row r="263" spans="1:3" ht="15.75" customHeight="1" x14ac:dyDescent="0.25">
      <c r="A263" s="6"/>
      <c r="C263" s="51"/>
    </row>
    <row r="264" spans="1:3" ht="15.75" customHeight="1" x14ac:dyDescent="0.25">
      <c r="A264" s="6"/>
      <c r="C264" s="51"/>
    </row>
    <row r="265" spans="1:3" ht="15.75" customHeight="1" x14ac:dyDescent="0.25">
      <c r="A265" s="6"/>
      <c r="C265" s="51"/>
    </row>
    <row r="266" spans="1:3" ht="15.75" customHeight="1" x14ac:dyDescent="0.25">
      <c r="A266" s="6"/>
      <c r="C266" s="51"/>
    </row>
    <row r="267" spans="1:3" ht="15.75" customHeight="1" x14ac:dyDescent="0.25">
      <c r="A267" s="6"/>
      <c r="C267" s="51"/>
    </row>
    <row r="268" spans="1:3" ht="15.75" customHeight="1" x14ac:dyDescent="0.25">
      <c r="A268" s="6"/>
      <c r="C268" s="51"/>
    </row>
    <row r="269" spans="1:3" ht="15.75" customHeight="1" x14ac:dyDescent="0.25">
      <c r="A269" s="6"/>
      <c r="C269" s="51"/>
    </row>
    <row r="270" spans="1:3" ht="15.75" customHeight="1" x14ac:dyDescent="0.25">
      <c r="A270" s="6"/>
      <c r="C270" s="51"/>
    </row>
    <row r="271" spans="1:3" ht="15.75" customHeight="1" x14ac:dyDescent="0.25">
      <c r="A271" s="6"/>
      <c r="C271" s="51"/>
    </row>
    <row r="272" spans="1:3" ht="15.75" customHeight="1" x14ac:dyDescent="0.25">
      <c r="A272" s="6"/>
      <c r="C272" s="51"/>
    </row>
    <row r="273" spans="1:3" ht="15.75" customHeight="1" x14ac:dyDescent="0.25">
      <c r="A273" s="6"/>
      <c r="C273" s="51"/>
    </row>
    <row r="274" spans="1:3" ht="15.75" customHeight="1" x14ac:dyDescent="0.25">
      <c r="A274" s="6"/>
      <c r="C274" s="51"/>
    </row>
    <row r="275" spans="1:3" ht="15.75" customHeight="1" x14ac:dyDescent="0.25">
      <c r="A275" s="6"/>
      <c r="C275" s="51"/>
    </row>
    <row r="276" spans="1:3" ht="15.75" customHeight="1" x14ac:dyDescent="0.25">
      <c r="A276" s="6"/>
      <c r="C276" s="51"/>
    </row>
    <row r="277" spans="1:3" ht="15.75" customHeight="1" x14ac:dyDescent="0.25">
      <c r="A277" s="6"/>
      <c r="C277" s="51"/>
    </row>
    <row r="278" spans="1:3" ht="15.75" customHeight="1" x14ac:dyDescent="0.25">
      <c r="A278" s="6"/>
      <c r="C278" s="51"/>
    </row>
    <row r="279" spans="1:3" ht="15.75" customHeight="1" x14ac:dyDescent="0.25">
      <c r="A279" s="6"/>
      <c r="C279" s="51"/>
    </row>
    <row r="280" spans="1:3" ht="15.75" customHeight="1" x14ac:dyDescent="0.25">
      <c r="A280" s="6"/>
      <c r="C280" s="51"/>
    </row>
    <row r="281" spans="1:3" ht="15.75" customHeight="1" x14ac:dyDescent="0.25">
      <c r="A281" s="6"/>
      <c r="C281" s="51"/>
    </row>
    <row r="282" spans="1:3" ht="15.75" customHeight="1" x14ac:dyDescent="0.25">
      <c r="A282" s="6"/>
      <c r="C282" s="51"/>
    </row>
    <row r="283" spans="1:3" ht="15.75" customHeight="1" x14ac:dyDescent="0.25">
      <c r="A283" s="6"/>
      <c r="C283" s="51"/>
    </row>
    <row r="284" spans="1:3" ht="15.75" customHeight="1" x14ac:dyDescent="0.25">
      <c r="A284" s="6"/>
      <c r="C284" s="51"/>
    </row>
    <row r="285" spans="1:3" ht="15.75" customHeight="1" x14ac:dyDescent="0.25">
      <c r="A285" s="6"/>
      <c r="C285" s="51"/>
    </row>
    <row r="286" spans="1:3" ht="15.75" customHeight="1" x14ac:dyDescent="0.25">
      <c r="A286" s="6"/>
      <c r="C286" s="51"/>
    </row>
    <row r="287" spans="1:3" ht="15.75" customHeight="1" x14ac:dyDescent="0.25">
      <c r="A287" s="6"/>
      <c r="C287" s="51"/>
    </row>
    <row r="288" spans="1:3" ht="15.75" customHeight="1" x14ac:dyDescent="0.25">
      <c r="A288" s="6"/>
      <c r="C288" s="51"/>
    </row>
    <row r="289" spans="1:3" ht="15.75" customHeight="1" x14ac:dyDescent="0.25">
      <c r="A289" s="6"/>
      <c r="C289" s="51"/>
    </row>
    <row r="290" spans="1:3" ht="15.75" customHeight="1" x14ac:dyDescent="0.25">
      <c r="A290" s="6"/>
      <c r="C290" s="51"/>
    </row>
    <row r="291" spans="1:3" ht="15.75" customHeight="1" x14ac:dyDescent="0.25">
      <c r="A291" s="6"/>
      <c r="C291" s="51"/>
    </row>
    <row r="292" spans="1:3" ht="15.75" customHeight="1" x14ac:dyDescent="0.25">
      <c r="A292" s="6"/>
      <c r="C292" s="51"/>
    </row>
    <row r="293" spans="1:3" ht="15.75" customHeight="1" x14ac:dyDescent="0.25">
      <c r="A293" s="6"/>
      <c r="C293" s="51"/>
    </row>
    <row r="294" spans="1:3" ht="15.75" customHeight="1" x14ac:dyDescent="0.25">
      <c r="A294" s="6"/>
      <c r="C294" s="51"/>
    </row>
    <row r="295" spans="1:3" ht="15.75" customHeight="1" x14ac:dyDescent="0.25">
      <c r="A295" s="6"/>
      <c r="C295" s="51"/>
    </row>
    <row r="296" spans="1:3" ht="15.75" customHeight="1" x14ac:dyDescent="0.25">
      <c r="A296" s="6"/>
      <c r="C296" s="51"/>
    </row>
    <row r="297" spans="1:3" ht="15.75" customHeight="1" x14ac:dyDescent="0.25">
      <c r="A297" s="6"/>
      <c r="C297" s="51"/>
    </row>
    <row r="298" spans="1:3" ht="15.75" customHeight="1" x14ac:dyDescent="0.25">
      <c r="A298" s="6"/>
      <c r="C298" s="51"/>
    </row>
    <row r="299" spans="1:3" ht="15.75" customHeight="1" x14ac:dyDescent="0.25">
      <c r="A299" s="6"/>
      <c r="C299" s="51"/>
    </row>
    <row r="300" spans="1:3" ht="15.75" customHeight="1" x14ac:dyDescent="0.25">
      <c r="A300" s="6"/>
      <c r="C300" s="51"/>
    </row>
    <row r="301" spans="1:3" ht="15.75" customHeight="1" x14ac:dyDescent="0.25">
      <c r="A301" s="6"/>
      <c r="C301" s="51"/>
    </row>
    <row r="302" spans="1:3" ht="15.75" customHeight="1" x14ac:dyDescent="0.25">
      <c r="A302" s="6"/>
      <c r="C302" s="51"/>
    </row>
    <row r="303" spans="1:3" ht="15.75" customHeight="1" x14ac:dyDescent="0.25">
      <c r="A303" s="6"/>
      <c r="C303" s="51"/>
    </row>
    <row r="304" spans="1:3" ht="15.75" customHeight="1" x14ac:dyDescent="0.25">
      <c r="A304" s="6"/>
      <c r="C304" s="51"/>
    </row>
    <row r="305" spans="1:3" ht="15.75" customHeight="1" x14ac:dyDescent="0.25">
      <c r="A305" s="6"/>
      <c r="C305" s="51"/>
    </row>
    <row r="306" spans="1:3" ht="15.75" customHeight="1" x14ac:dyDescent="0.25">
      <c r="A306" s="6"/>
      <c r="C306" s="51"/>
    </row>
    <row r="307" spans="1:3" ht="15.75" customHeight="1" x14ac:dyDescent="0.25">
      <c r="A307" s="6"/>
      <c r="C307" s="51"/>
    </row>
    <row r="308" spans="1:3" ht="15.75" customHeight="1" x14ac:dyDescent="0.25">
      <c r="A308" s="6"/>
      <c r="C308" s="51"/>
    </row>
    <row r="309" spans="1:3" ht="15.75" customHeight="1" x14ac:dyDescent="0.25">
      <c r="A309" s="6"/>
      <c r="C309" s="51"/>
    </row>
    <row r="310" spans="1:3" ht="15.75" customHeight="1" x14ac:dyDescent="0.25">
      <c r="A310" s="6"/>
      <c r="C310" s="51"/>
    </row>
    <row r="311" spans="1:3" ht="15.75" customHeight="1" x14ac:dyDescent="0.25">
      <c r="A311" s="6"/>
      <c r="C311" s="51"/>
    </row>
    <row r="312" spans="1:3" ht="15.75" customHeight="1" x14ac:dyDescent="0.25">
      <c r="A312" s="6"/>
      <c r="C312" s="51"/>
    </row>
    <row r="313" spans="1:3" ht="15.75" customHeight="1" x14ac:dyDescent="0.25">
      <c r="A313" s="6"/>
      <c r="C313" s="51"/>
    </row>
    <row r="314" spans="1:3" ht="15.75" customHeight="1" x14ac:dyDescent="0.25">
      <c r="A314" s="6"/>
      <c r="C314" s="51"/>
    </row>
    <row r="315" spans="1:3" ht="15.75" customHeight="1" x14ac:dyDescent="0.25">
      <c r="A315" s="6"/>
      <c r="C315" s="51"/>
    </row>
    <row r="316" spans="1:3" ht="15.75" customHeight="1" x14ac:dyDescent="0.25">
      <c r="A316" s="6"/>
      <c r="C316" s="51"/>
    </row>
    <row r="317" spans="1:3" ht="15.75" customHeight="1" x14ac:dyDescent="0.25">
      <c r="A317" s="6"/>
      <c r="C317" s="51"/>
    </row>
    <row r="318" spans="1:3" ht="15.75" customHeight="1" x14ac:dyDescent="0.25">
      <c r="A318" s="6"/>
      <c r="C318" s="51"/>
    </row>
    <row r="319" spans="1:3" ht="15.75" customHeight="1" x14ac:dyDescent="0.25">
      <c r="A319" s="6"/>
      <c r="C319" s="51"/>
    </row>
    <row r="320" spans="1:3" ht="15.75" customHeight="1" x14ac:dyDescent="0.25">
      <c r="A320" s="6"/>
      <c r="C320" s="51"/>
    </row>
    <row r="321" spans="1:3" ht="15.75" customHeight="1" x14ac:dyDescent="0.25">
      <c r="A321" s="6"/>
      <c r="C321" s="51"/>
    </row>
    <row r="322" spans="1:3" ht="15.75" customHeight="1" x14ac:dyDescent="0.25">
      <c r="A322" s="6"/>
      <c r="C322" s="51"/>
    </row>
    <row r="323" spans="1:3" ht="15.75" customHeight="1" x14ac:dyDescent="0.25">
      <c r="A323" s="6"/>
      <c r="C323" s="51"/>
    </row>
    <row r="324" spans="1:3" ht="15.75" customHeight="1" x14ac:dyDescent="0.25">
      <c r="A324" s="6"/>
      <c r="C324" s="51"/>
    </row>
    <row r="325" spans="1:3" ht="15.75" customHeight="1" x14ac:dyDescent="0.25">
      <c r="A325" s="6"/>
      <c r="C325" s="51"/>
    </row>
    <row r="326" spans="1:3" ht="15.75" customHeight="1" x14ac:dyDescent="0.25">
      <c r="A326" s="6"/>
      <c r="C326" s="51"/>
    </row>
    <row r="327" spans="1:3" ht="15.75" customHeight="1" x14ac:dyDescent="0.25">
      <c r="A327" s="6"/>
      <c r="C327" s="51"/>
    </row>
    <row r="328" spans="1:3" ht="15.75" customHeight="1" x14ac:dyDescent="0.25">
      <c r="A328" s="6"/>
      <c r="C328" s="51"/>
    </row>
    <row r="329" spans="1:3" ht="15.75" customHeight="1" x14ac:dyDescent="0.25">
      <c r="A329" s="6"/>
      <c r="C329" s="51"/>
    </row>
    <row r="330" spans="1:3" ht="15.75" customHeight="1" x14ac:dyDescent="0.25">
      <c r="A330" s="6"/>
      <c r="C330" s="51"/>
    </row>
    <row r="331" spans="1:3" ht="15.75" customHeight="1" x14ac:dyDescent="0.25">
      <c r="A331" s="6"/>
      <c r="C331" s="51"/>
    </row>
    <row r="332" spans="1:3" ht="15.75" customHeight="1" x14ac:dyDescent="0.25">
      <c r="A332" s="6"/>
      <c r="C332" s="51"/>
    </row>
    <row r="333" spans="1:3" ht="15.75" customHeight="1" x14ac:dyDescent="0.25">
      <c r="A333" s="6"/>
      <c r="C333" s="51"/>
    </row>
    <row r="334" spans="1:3" ht="15.75" customHeight="1" x14ac:dyDescent="0.25">
      <c r="A334" s="6"/>
      <c r="C334" s="51"/>
    </row>
    <row r="335" spans="1:3" ht="15.75" customHeight="1" x14ac:dyDescent="0.25">
      <c r="A335" s="6"/>
      <c r="C335" s="51"/>
    </row>
    <row r="336" spans="1:3" ht="15.75" customHeight="1" x14ac:dyDescent="0.25">
      <c r="A336" s="6"/>
      <c r="C336" s="51"/>
    </row>
    <row r="337" spans="1:3" ht="15.75" customHeight="1" x14ac:dyDescent="0.25">
      <c r="A337" s="6"/>
      <c r="C337" s="51"/>
    </row>
    <row r="338" spans="1:3" ht="15.75" customHeight="1" x14ac:dyDescent="0.25">
      <c r="A338" s="6"/>
      <c r="C338" s="51"/>
    </row>
    <row r="339" spans="1:3" ht="15.75" customHeight="1" x14ac:dyDescent="0.25">
      <c r="A339" s="6"/>
      <c r="C339" s="51"/>
    </row>
    <row r="340" spans="1:3" ht="15.75" customHeight="1" x14ac:dyDescent="0.25">
      <c r="A340" s="6"/>
      <c r="C340" s="51"/>
    </row>
    <row r="341" spans="1:3" ht="15.75" customHeight="1" x14ac:dyDescent="0.25">
      <c r="A341" s="6"/>
      <c r="C341" s="51"/>
    </row>
    <row r="342" spans="1:3" ht="15.75" customHeight="1" x14ac:dyDescent="0.25">
      <c r="A342" s="6"/>
      <c r="C342" s="51"/>
    </row>
    <row r="343" spans="1:3" ht="15.75" customHeight="1" x14ac:dyDescent="0.25">
      <c r="A343" s="6"/>
      <c r="C343" s="51"/>
    </row>
    <row r="344" spans="1:3" ht="15.75" customHeight="1" x14ac:dyDescent="0.25">
      <c r="A344" s="6"/>
      <c r="C344" s="51"/>
    </row>
    <row r="345" spans="1:3" ht="15.75" customHeight="1" x14ac:dyDescent="0.25">
      <c r="A345" s="6"/>
      <c r="C345" s="51"/>
    </row>
    <row r="346" spans="1:3" ht="15.75" customHeight="1" x14ac:dyDescent="0.25">
      <c r="A346" s="6"/>
      <c r="C346" s="51"/>
    </row>
    <row r="347" spans="1:3" ht="15.75" customHeight="1" x14ac:dyDescent="0.25">
      <c r="A347" s="6"/>
      <c r="C347" s="51"/>
    </row>
    <row r="348" spans="1:3" ht="15.75" customHeight="1" x14ac:dyDescent="0.25">
      <c r="A348" s="6"/>
      <c r="C348" s="51"/>
    </row>
    <row r="349" spans="1:3" ht="15.75" customHeight="1" x14ac:dyDescent="0.25">
      <c r="A349" s="6"/>
      <c r="C349" s="51"/>
    </row>
    <row r="350" spans="1:3" ht="15.75" customHeight="1" x14ac:dyDescent="0.25">
      <c r="A350" s="6"/>
      <c r="C350" s="51"/>
    </row>
    <row r="351" spans="1:3" ht="15.75" customHeight="1" x14ac:dyDescent="0.25">
      <c r="A351" s="6"/>
      <c r="C351" s="51"/>
    </row>
    <row r="352" spans="1:3" ht="15.75" customHeight="1" x14ac:dyDescent="0.25">
      <c r="A352" s="6"/>
      <c r="C352" s="51"/>
    </row>
    <row r="353" spans="1:3" ht="15.75" customHeight="1" x14ac:dyDescent="0.25">
      <c r="A353" s="6"/>
      <c r="C353" s="51"/>
    </row>
    <row r="354" spans="1:3" ht="15.75" customHeight="1" x14ac:dyDescent="0.25">
      <c r="A354" s="6"/>
      <c r="C354" s="51"/>
    </row>
    <row r="355" spans="1:3" ht="15.75" customHeight="1" x14ac:dyDescent="0.25">
      <c r="A355" s="6"/>
      <c r="C355" s="51"/>
    </row>
    <row r="356" spans="1:3" ht="15.75" customHeight="1" x14ac:dyDescent="0.25">
      <c r="A356" s="6"/>
      <c r="C356" s="51"/>
    </row>
    <row r="357" spans="1:3" ht="15.75" customHeight="1" x14ac:dyDescent="0.25">
      <c r="A357" s="6"/>
      <c r="C357" s="51"/>
    </row>
    <row r="358" spans="1:3" ht="15.75" customHeight="1" x14ac:dyDescent="0.25">
      <c r="A358" s="6"/>
      <c r="C358" s="51"/>
    </row>
    <row r="359" spans="1:3" ht="15.75" customHeight="1" x14ac:dyDescent="0.25">
      <c r="A359" s="6"/>
      <c r="C359" s="51"/>
    </row>
    <row r="360" spans="1:3" ht="15.75" customHeight="1" x14ac:dyDescent="0.25">
      <c r="A360" s="6"/>
      <c r="C360" s="51"/>
    </row>
    <row r="361" spans="1:3" ht="15.75" customHeight="1" x14ac:dyDescent="0.25">
      <c r="A361" s="6"/>
      <c r="C361" s="51"/>
    </row>
    <row r="362" spans="1:3" ht="15.75" customHeight="1" x14ac:dyDescent="0.25">
      <c r="A362" s="6"/>
      <c r="C362" s="51"/>
    </row>
    <row r="363" spans="1:3" ht="15.75" customHeight="1" x14ac:dyDescent="0.25">
      <c r="A363" s="6"/>
      <c r="C363" s="51"/>
    </row>
    <row r="364" spans="1:3" ht="15.75" customHeight="1" x14ac:dyDescent="0.25">
      <c r="A364" s="6"/>
      <c r="C364" s="51"/>
    </row>
    <row r="365" spans="1:3" ht="15.75" customHeight="1" x14ac:dyDescent="0.25">
      <c r="A365" s="6"/>
      <c r="C365" s="51"/>
    </row>
    <row r="366" spans="1:3" ht="15.75" customHeight="1" x14ac:dyDescent="0.25">
      <c r="A366" s="6"/>
      <c r="C366" s="51"/>
    </row>
    <row r="367" spans="1:3" ht="15.75" customHeight="1" x14ac:dyDescent="0.25">
      <c r="A367" s="6"/>
      <c r="C367" s="51"/>
    </row>
    <row r="368" spans="1:3" ht="15.75" customHeight="1" x14ac:dyDescent="0.25">
      <c r="A368" s="6"/>
      <c r="C368" s="51"/>
    </row>
    <row r="369" spans="1:3" ht="15.75" customHeight="1" x14ac:dyDescent="0.25">
      <c r="A369" s="6"/>
      <c r="C369" s="51"/>
    </row>
    <row r="370" spans="1:3" ht="15.75" customHeight="1" x14ac:dyDescent="0.25">
      <c r="A370" s="6"/>
      <c r="C370" s="51"/>
    </row>
    <row r="371" spans="1:3" ht="15.75" customHeight="1" x14ac:dyDescent="0.25">
      <c r="A371" s="6"/>
      <c r="C371" s="51"/>
    </row>
    <row r="372" spans="1:3" ht="15.75" customHeight="1" x14ac:dyDescent="0.25">
      <c r="A372" s="6"/>
      <c r="C372" s="51"/>
    </row>
    <row r="373" spans="1:3" ht="15.75" customHeight="1" x14ac:dyDescent="0.25">
      <c r="A373" s="6"/>
      <c r="C373" s="51"/>
    </row>
    <row r="374" spans="1:3" ht="15.75" customHeight="1" x14ac:dyDescent="0.25">
      <c r="A374" s="6"/>
      <c r="C374" s="51"/>
    </row>
    <row r="375" spans="1:3" ht="15.75" customHeight="1" x14ac:dyDescent="0.25">
      <c r="A375" s="6"/>
      <c r="C375" s="51"/>
    </row>
    <row r="376" spans="1:3" ht="15.75" customHeight="1" x14ac:dyDescent="0.25">
      <c r="A376" s="6"/>
      <c r="C376" s="51"/>
    </row>
    <row r="377" spans="1:3" ht="15.75" customHeight="1" x14ac:dyDescent="0.25">
      <c r="A377" s="6"/>
      <c r="C377" s="51"/>
    </row>
    <row r="378" spans="1:3" ht="15.75" customHeight="1" x14ac:dyDescent="0.25">
      <c r="A378" s="6"/>
      <c r="C378" s="51"/>
    </row>
    <row r="379" spans="1:3" ht="15.75" customHeight="1" x14ac:dyDescent="0.25">
      <c r="A379" s="6"/>
      <c r="C379" s="51"/>
    </row>
    <row r="380" spans="1:3" ht="15.75" customHeight="1" x14ac:dyDescent="0.25">
      <c r="A380" s="6"/>
      <c r="C380" s="51"/>
    </row>
    <row r="381" spans="1:3" ht="15.75" customHeight="1" x14ac:dyDescent="0.25">
      <c r="A381" s="6"/>
      <c r="C381" s="51"/>
    </row>
    <row r="382" spans="1:3" ht="15.75" customHeight="1" x14ac:dyDescent="0.25">
      <c r="A382" s="6"/>
      <c r="C382" s="51"/>
    </row>
    <row r="383" spans="1:3" ht="15.75" customHeight="1" x14ac:dyDescent="0.25">
      <c r="A383" s="6"/>
      <c r="C383" s="51"/>
    </row>
    <row r="384" spans="1:3" ht="15.75" customHeight="1" x14ac:dyDescent="0.25">
      <c r="A384" s="6"/>
      <c r="C384" s="51"/>
    </row>
    <row r="385" spans="1:3" ht="15.75" customHeight="1" x14ac:dyDescent="0.25">
      <c r="A385" s="6"/>
      <c r="C385" s="51"/>
    </row>
    <row r="386" spans="1:3" ht="15.75" customHeight="1" x14ac:dyDescent="0.25">
      <c r="A386" s="6"/>
      <c r="C386" s="51"/>
    </row>
    <row r="387" spans="1:3" ht="15.75" customHeight="1" x14ac:dyDescent="0.25">
      <c r="A387" s="6"/>
      <c r="C387" s="51"/>
    </row>
    <row r="388" spans="1:3" ht="15.75" customHeight="1" x14ac:dyDescent="0.25">
      <c r="A388" s="6"/>
      <c r="C388" s="51"/>
    </row>
    <row r="389" spans="1:3" ht="15.75" customHeight="1" x14ac:dyDescent="0.25">
      <c r="A389" s="6"/>
      <c r="C389" s="51"/>
    </row>
    <row r="390" spans="1:3" ht="15.75" customHeight="1" x14ac:dyDescent="0.25">
      <c r="A390" s="6"/>
      <c r="C390" s="51"/>
    </row>
    <row r="391" spans="1:3" ht="15.75" customHeight="1" x14ac:dyDescent="0.25">
      <c r="A391" s="6"/>
      <c r="C391" s="51"/>
    </row>
    <row r="392" spans="1:3" ht="15.75" customHeight="1" x14ac:dyDescent="0.25">
      <c r="A392" s="6"/>
      <c r="C392" s="51"/>
    </row>
    <row r="393" spans="1:3" ht="15.75" customHeight="1" x14ac:dyDescent="0.25">
      <c r="A393" s="6"/>
      <c r="C393" s="51"/>
    </row>
    <row r="394" spans="1:3" ht="15.75" customHeight="1" x14ac:dyDescent="0.25">
      <c r="A394" s="6"/>
      <c r="C394" s="51"/>
    </row>
    <row r="395" spans="1:3" ht="15.75" customHeight="1" x14ac:dyDescent="0.25">
      <c r="A395" s="6"/>
      <c r="C395" s="51"/>
    </row>
    <row r="396" spans="1:3" ht="15.75" customHeight="1" x14ac:dyDescent="0.25">
      <c r="A396" s="6"/>
      <c r="C396" s="51"/>
    </row>
    <row r="397" spans="1:3" ht="15.75" customHeight="1" x14ac:dyDescent="0.25">
      <c r="A397" s="6"/>
      <c r="C397" s="51"/>
    </row>
    <row r="398" spans="1:3" ht="15.75" customHeight="1" x14ac:dyDescent="0.25">
      <c r="A398" s="6"/>
      <c r="C398" s="51"/>
    </row>
    <row r="399" spans="1:3" ht="15.75" customHeight="1" x14ac:dyDescent="0.25">
      <c r="A399" s="6"/>
      <c r="C399" s="51"/>
    </row>
    <row r="400" spans="1:3" ht="15.75" customHeight="1" x14ac:dyDescent="0.25">
      <c r="A400" s="6"/>
      <c r="C400" s="51"/>
    </row>
    <row r="401" spans="1:3" ht="15.75" customHeight="1" x14ac:dyDescent="0.25">
      <c r="A401" s="6"/>
      <c r="C401" s="51"/>
    </row>
    <row r="402" spans="1:3" ht="15.75" customHeight="1" x14ac:dyDescent="0.25">
      <c r="A402" s="6"/>
      <c r="C402" s="51"/>
    </row>
    <row r="403" spans="1:3" ht="15.75" customHeight="1" x14ac:dyDescent="0.25">
      <c r="A403" s="6"/>
      <c r="C403" s="51"/>
    </row>
    <row r="404" spans="1:3" ht="15.75" customHeight="1" x14ac:dyDescent="0.25">
      <c r="A404" s="6"/>
      <c r="C404" s="51"/>
    </row>
    <row r="405" spans="1:3" ht="15.75" customHeight="1" x14ac:dyDescent="0.25">
      <c r="A405" s="6"/>
      <c r="C405" s="51"/>
    </row>
    <row r="406" spans="1:3" ht="15.75" customHeight="1" x14ac:dyDescent="0.25">
      <c r="A406" s="6"/>
      <c r="C406" s="51"/>
    </row>
    <row r="407" spans="1:3" ht="15.75" customHeight="1" x14ac:dyDescent="0.25">
      <c r="A407" s="6"/>
      <c r="C407" s="51"/>
    </row>
    <row r="408" spans="1:3" ht="15.75" customHeight="1" x14ac:dyDescent="0.25">
      <c r="A408" s="6"/>
      <c r="C408" s="51"/>
    </row>
    <row r="409" spans="1:3" ht="15.75" customHeight="1" x14ac:dyDescent="0.25">
      <c r="A409" s="6"/>
      <c r="C409" s="51"/>
    </row>
    <row r="410" spans="1:3" ht="15.75" customHeight="1" x14ac:dyDescent="0.25">
      <c r="A410" s="6"/>
      <c r="C410" s="51"/>
    </row>
    <row r="411" spans="1:3" ht="15.75" customHeight="1" x14ac:dyDescent="0.25">
      <c r="A411" s="6"/>
      <c r="C411" s="51"/>
    </row>
    <row r="412" spans="1:3" ht="15.75" customHeight="1" x14ac:dyDescent="0.25">
      <c r="A412" s="6"/>
      <c r="C412" s="51"/>
    </row>
    <row r="413" spans="1:3" ht="15.75" customHeight="1" x14ac:dyDescent="0.25">
      <c r="A413" s="6"/>
      <c r="C413" s="51"/>
    </row>
    <row r="414" spans="1:3" ht="15.75" customHeight="1" x14ac:dyDescent="0.25">
      <c r="A414" s="6"/>
      <c r="C414" s="51"/>
    </row>
    <row r="415" spans="1:3" ht="15.75" customHeight="1" x14ac:dyDescent="0.25">
      <c r="A415" s="6"/>
      <c r="C415" s="51"/>
    </row>
    <row r="416" spans="1:3" ht="15.75" customHeight="1" x14ac:dyDescent="0.25">
      <c r="A416" s="6"/>
      <c r="C416" s="51"/>
    </row>
    <row r="417" spans="1:3" ht="15.75" customHeight="1" x14ac:dyDescent="0.25">
      <c r="A417" s="6"/>
      <c r="C417" s="51"/>
    </row>
    <row r="418" spans="1:3" ht="15.75" customHeight="1" x14ac:dyDescent="0.25">
      <c r="A418" s="6"/>
      <c r="C418" s="51"/>
    </row>
    <row r="419" spans="1:3" ht="15.75" customHeight="1" x14ac:dyDescent="0.25">
      <c r="A419" s="6"/>
      <c r="C419" s="51"/>
    </row>
    <row r="420" spans="1:3" ht="15.75" customHeight="1" x14ac:dyDescent="0.25">
      <c r="A420" s="6"/>
      <c r="C420" s="51"/>
    </row>
    <row r="421" spans="1:3" ht="15.75" customHeight="1" x14ac:dyDescent="0.25">
      <c r="A421" s="6"/>
      <c r="C421" s="51"/>
    </row>
    <row r="422" spans="1:3" ht="15.75" customHeight="1" x14ac:dyDescent="0.25">
      <c r="A422" s="6"/>
      <c r="C422" s="51"/>
    </row>
    <row r="423" spans="1:3" ht="15.75" customHeight="1" x14ac:dyDescent="0.25">
      <c r="A423" s="6"/>
      <c r="C423" s="51"/>
    </row>
    <row r="424" spans="1:3" ht="15.75" customHeight="1" x14ac:dyDescent="0.25">
      <c r="A424" s="6"/>
      <c r="C424" s="51"/>
    </row>
    <row r="425" spans="1:3" ht="15.75" customHeight="1" x14ac:dyDescent="0.25">
      <c r="A425" s="6"/>
      <c r="C425" s="51"/>
    </row>
    <row r="426" spans="1:3" ht="15.75" customHeight="1" x14ac:dyDescent="0.25">
      <c r="A426" s="6"/>
      <c r="C426" s="51"/>
    </row>
    <row r="427" spans="1:3" ht="15.75" customHeight="1" x14ac:dyDescent="0.25">
      <c r="A427" s="6"/>
      <c r="C427" s="51"/>
    </row>
    <row r="428" spans="1:3" ht="15.75" customHeight="1" x14ac:dyDescent="0.25">
      <c r="A428" s="6"/>
      <c r="C428" s="51"/>
    </row>
    <row r="429" spans="1:3" ht="15.75" customHeight="1" x14ac:dyDescent="0.25">
      <c r="A429" s="6"/>
      <c r="C429" s="51"/>
    </row>
    <row r="430" spans="1:3" ht="15.75" customHeight="1" x14ac:dyDescent="0.25">
      <c r="A430" s="6"/>
      <c r="C430" s="51"/>
    </row>
    <row r="431" spans="1:3" ht="15.75" customHeight="1" x14ac:dyDescent="0.25">
      <c r="A431" s="6"/>
      <c r="C431" s="51"/>
    </row>
    <row r="432" spans="1:3" ht="15.75" customHeight="1" x14ac:dyDescent="0.25">
      <c r="A432" s="6"/>
      <c r="C432" s="51"/>
    </row>
    <row r="433" spans="1:3" ht="15.75" customHeight="1" x14ac:dyDescent="0.25">
      <c r="A433" s="6"/>
      <c r="C433" s="51"/>
    </row>
    <row r="434" spans="1:3" ht="15.75" customHeight="1" x14ac:dyDescent="0.25">
      <c r="A434" s="6"/>
      <c r="C434" s="51"/>
    </row>
    <row r="435" spans="1:3" ht="15.75" customHeight="1" x14ac:dyDescent="0.25">
      <c r="A435" s="6"/>
      <c r="C435" s="51"/>
    </row>
    <row r="436" spans="1:3" ht="15.75" customHeight="1" x14ac:dyDescent="0.25">
      <c r="A436" s="6"/>
      <c r="C436" s="51"/>
    </row>
    <row r="437" spans="1:3" ht="15.75" customHeight="1" x14ac:dyDescent="0.25">
      <c r="A437" s="6"/>
      <c r="C437" s="51"/>
    </row>
    <row r="438" spans="1:3" ht="15.75" customHeight="1" x14ac:dyDescent="0.25">
      <c r="A438" s="6"/>
      <c r="C438" s="51"/>
    </row>
    <row r="439" spans="1:3" ht="15.75" customHeight="1" x14ac:dyDescent="0.25">
      <c r="A439" s="6"/>
      <c r="C439" s="51"/>
    </row>
    <row r="440" spans="1:3" ht="15.75" customHeight="1" x14ac:dyDescent="0.25">
      <c r="A440" s="6"/>
      <c r="C440" s="51"/>
    </row>
    <row r="441" spans="1:3" ht="15.75" customHeight="1" x14ac:dyDescent="0.25">
      <c r="A441" s="6"/>
      <c r="C441" s="51"/>
    </row>
    <row r="442" spans="1:3" ht="15.75" customHeight="1" x14ac:dyDescent="0.25">
      <c r="A442" s="6"/>
      <c r="C442" s="51"/>
    </row>
    <row r="443" spans="1:3" ht="15.75" customHeight="1" x14ac:dyDescent="0.25">
      <c r="A443" s="6"/>
      <c r="C443" s="51"/>
    </row>
    <row r="444" spans="1:3" ht="15.75" customHeight="1" x14ac:dyDescent="0.25">
      <c r="A444" s="6"/>
      <c r="C444" s="51"/>
    </row>
    <row r="445" spans="1:3" ht="15.75" customHeight="1" x14ac:dyDescent="0.25">
      <c r="A445" s="6"/>
      <c r="C445" s="51"/>
    </row>
    <row r="446" spans="1:3" ht="15.75" customHeight="1" x14ac:dyDescent="0.25">
      <c r="A446" s="6"/>
      <c r="C446" s="51"/>
    </row>
    <row r="447" spans="1:3" ht="15.75" customHeight="1" x14ac:dyDescent="0.25">
      <c r="A447" s="6"/>
      <c r="C447" s="51"/>
    </row>
    <row r="448" spans="1:3" ht="15.75" customHeight="1" x14ac:dyDescent="0.25">
      <c r="A448" s="6"/>
      <c r="C448" s="51"/>
    </row>
    <row r="449" spans="1:3" ht="15.75" customHeight="1" x14ac:dyDescent="0.25">
      <c r="A449" s="6"/>
      <c r="C449" s="51"/>
    </row>
    <row r="450" spans="1:3" ht="15.75" customHeight="1" x14ac:dyDescent="0.25">
      <c r="A450" s="6"/>
      <c r="C450" s="51"/>
    </row>
    <row r="451" spans="1:3" ht="15.75" customHeight="1" x14ac:dyDescent="0.25">
      <c r="A451" s="6"/>
      <c r="C451" s="51"/>
    </row>
    <row r="452" spans="1:3" ht="15.75" customHeight="1" x14ac:dyDescent="0.25">
      <c r="A452" s="6"/>
      <c r="C452" s="51"/>
    </row>
    <row r="453" spans="1:3" ht="15.75" customHeight="1" x14ac:dyDescent="0.25">
      <c r="A453" s="6"/>
      <c r="C453" s="51"/>
    </row>
    <row r="454" spans="1:3" ht="15.75" customHeight="1" x14ac:dyDescent="0.25">
      <c r="A454" s="6"/>
      <c r="C454" s="51"/>
    </row>
    <row r="455" spans="1:3" ht="15.75" customHeight="1" x14ac:dyDescent="0.25">
      <c r="A455" s="6"/>
      <c r="C455" s="51"/>
    </row>
    <row r="456" spans="1:3" ht="15.75" customHeight="1" x14ac:dyDescent="0.25">
      <c r="A456" s="6"/>
      <c r="C456" s="51"/>
    </row>
    <row r="457" spans="1:3" ht="15.75" customHeight="1" x14ac:dyDescent="0.25">
      <c r="A457" s="6"/>
      <c r="C457" s="51"/>
    </row>
    <row r="458" spans="1:3" ht="15.75" customHeight="1" x14ac:dyDescent="0.25">
      <c r="A458" s="6"/>
      <c r="C458" s="51"/>
    </row>
    <row r="459" spans="1:3" ht="15.75" customHeight="1" x14ac:dyDescent="0.25">
      <c r="A459" s="6"/>
      <c r="C459" s="51"/>
    </row>
    <row r="460" spans="1:3" ht="15.75" customHeight="1" x14ac:dyDescent="0.25">
      <c r="A460" s="6"/>
      <c r="C460" s="51"/>
    </row>
    <row r="461" spans="1:3" ht="15.75" customHeight="1" x14ac:dyDescent="0.25">
      <c r="A461" s="6"/>
      <c r="C461" s="51"/>
    </row>
    <row r="462" spans="1:3" ht="15.75" customHeight="1" x14ac:dyDescent="0.25">
      <c r="A462" s="6"/>
      <c r="C462" s="51"/>
    </row>
    <row r="463" spans="1:3" ht="15.75" customHeight="1" x14ac:dyDescent="0.25">
      <c r="A463" s="6"/>
      <c r="C463" s="51"/>
    </row>
    <row r="464" spans="1:3" ht="15.75" customHeight="1" x14ac:dyDescent="0.25">
      <c r="A464" s="6"/>
      <c r="C464" s="51"/>
    </row>
    <row r="465" spans="1:3" ht="15.75" customHeight="1" x14ac:dyDescent="0.25">
      <c r="A465" s="6"/>
      <c r="C465" s="51"/>
    </row>
    <row r="466" spans="1:3" ht="15.75" customHeight="1" x14ac:dyDescent="0.25">
      <c r="A466" s="6"/>
      <c r="C466" s="51"/>
    </row>
    <row r="467" spans="1:3" ht="15.75" customHeight="1" x14ac:dyDescent="0.25">
      <c r="A467" s="6"/>
      <c r="C467" s="51"/>
    </row>
    <row r="468" spans="1:3" ht="15.75" customHeight="1" x14ac:dyDescent="0.25">
      <c r="A468" s="6"/>
      <c r="C468" s="51"/>
    </row>
    <row r="469" spans="1:3" ht="15.75" customHeight="1" x14ac:dyDescent="0.25">
      <c r="A469" s="6"/>
      <c r="C469" s="51"/>
    </row>
    <row r="470" spans="1:3" ht="15.75" customHeight="1" x14ac:dyDescent="0.25">
      <c r="A470" s="6"/>
      <c r="C470" s="51"/>
    </row>
    <row r="471" spans="1:3" ht="15.75" customHeight="1" x14ac:dyDescent="0.25">
      <c r="A471" s="6"/>
      <c r="C471" s="51"/>
    </row>
    <row r="472" spans="1:3" ht="15.75" customHeight="1" x14ac:dyDescent="0.25">
      <c r="A472" s="6"/>
      <c r="C472" s="51"/>
    </row>
    <row r="473" spans="1:3" ht="15.75" customHeight="1" x14ac:dyDescent="0.25">
      <c r="A473" s="6"/>
      <c r="C473" s="51"/>
    </row>
    <row r="474" spans="1:3" ht="15.75" customHeight="1" x14ac:dyDescent="0.25">
      <c r="A474" s="6"/>
      <c r="C474" s="51"/>
    </row>
    <row r="475" spans="1:3" ht="15.75" customHeight="1" x14ac:dyDescent="0.25">
      <c r="A475" s="6"/>
      <c r="C475" s="51"/>
    </row>
    <row r="476" spans="1:3" ht="15.75" customHeight="1" x14ac:dyDescent="0.25">
      <c r="A476" s="6"/>
      <c r="C476" s="51"/>
    </row>
    <row r="477" spans="1:3" ht="15.75" customHeight="1" x14ac:dyDescent="0.25">
      <c r="A477" s="6"/>
      <c r="C477" s="51"/>
    </row>
    <row r="478" spans="1:3" ht="15.75" customHeight="1" x14ac:dyDescent="0.25">
      <c r="A478" s="6"/>
      <c r="C478" s="51"/>
    </row>
    <row r="479" spans="1:3" ht="15.75" customHeight="1" x14ac:dyDescent="0.25">
      <c r="A479" s="6"/>
      <c r="C479" s="51"/>
    </row>
    <row r="480" spans="1:3" ht="15.75" customHeight="1" x14ac:dyDescent="0.25">
      <c r="A480" s="6"/>
      <c r="C480" s="51"/>
    </row>
    <row r="481" spans="1:3" ht="15.75" customHeight="1" x14ac:dyDescent="0.25">
      <c r="A481" s="6"/>
      <c r="C481" s="51"/>
    </row>
    <row r="482" spans="1:3" ht="15.75" customHeight="1" x14ac:dyDescent="0.25">
      <c r="A482" s="6"/>
      <c r="C482" s="51"/>
    </row>
    <row r="483" spans="1:3" ht="15.75" customHeight="1" x14ac:dyDescent="0.25">
      <c r="A483" s="6"/>
      <c r="C483" s="51"/>
    </row>
    <row r="484" spans="1:3" ht="15.75" customHeight="1" x14ac:dyDescent="0.25">
      <c r="A484" s="6"/>
      <c r="C484" s="51"/>
    </row>
    <row r="485" spans="1:3" ht="15.75" customHeight="1" x14ac:dyDescent="0.25">
      <c r="A485" s="6"/>
      <c r="C485" s="51"/>
    </row>
    <row r="486" spans="1:3" ht="15.75" customHeight="1" x14ac:dyDescent="0.25">
      <c r="A486" s="6"/>
      <c r="C486" s="51"/>
    </row>
    <row r="487" spans="1:3" ht="15.75" customHeight="1" x14ac:dyDescent="0.25">
      <c r="A487" s="6"/>
      <c r="C487" s="51"/>
    </row>
    <row r="488" spans="1:3" ht="15.75" customHeight="1" x14ac:dyDescent="0.25">
      <c r="A488" s="6"/>
      <c r="C488" s="51"/>
    </row>
    <row r="489" spans="1:3" ht="15.75" customHeight="1" x14ac:dyDescent="0.25">
      <c r="A489" s="6"/>
      <c r="C489" s="51"/>
    </row>
    <row r="490" spans="1:3" ht="15.75" customHeight="1" x14ac:dyDescent="0.25">
      <c r="A490" s="6"/>
      <c r="C490" s="51"/>
    </row>
    <row r="491" spans="1:3" ht="15.75" customHeight="1" x14ac:dyDescent="0.25">
      <c r="A491" s="6"/>
      <c r="C491" s="51"/>
    </row>
    <row r="492" spans="1:3" ht="15.75" customHeight="1" x14ac:dyDescent="0.25">
      <c r="A492" s="6"/>
      <c r="C492" s="51"/>
    </row>
    <row r="493" spans="1:3" ht="15.75" customHeight="1" x14ac:dyDescent="0.25">
      <c r="A493" s="6"/>
      <c r="C493" s="51"/>
    </row>
    <row r="494" spans="1:3" ht="15.75" customHeight="1" x14ac:dyDescent="0.25">
      <c r="A494" s="6"/>
      <c r="C494" s="51"/>
    </row>
    <row r="495" spans="1:3" ht="15.75" customHeight="1" x14ac:dyDescent="0.25">
      <c r="A495" s="6"/>
      <c r="C495" s="51"/>
    </row>
    <row r="496" spans="1:3" ht="15.75" customHeight="1" x14ac:dyDescent="0.25">
      <c r="A496" s="6"/>
      <c r="C496" s="51"/>
    </row>
    <row r="497" spans="1:3" ht="15.75" customHeight="1" x14ac:dyDescent="0.25">
      <c r="A497" s="6"/>
      <c r="C497" s="51"/>
    </row>
    <row r="498" spans="1:3" ht="15.75" customHeight="1" x14ac:dyDescent="0.25">
      <c r="A498" s="6"/>
      <c r="C498" s="51"/>
    </row>
    <row r="499" spans="1:3" ht="15.75" customHeight="1" x14ac:dyDescent="0.25">
      <c r="A499" s="6"/>
      <c r="C499" s="51"/>
    </row>
    <row r="500" spans="1:3" ht="15.75" customHeight="1" x14ac:dyDescent="0.25">
      <c r="A500" s="6"/>
      <c r="C500" s="51"/>
    </row>
    <row r="501" spans="1:3" ht="15.75" customHeight="1" x14ac:dyDescent="0.25">
      <c r="A501" s="6"/>
      <c r="C501" s="51"/>
    </row>
    <row r="502" spans="1:3" ht="15.75" customHeight="1" x14ac:dyDescent="0.25">
      <c r="A502" s="6"/>
      <c r="C502" s="51"/>
    </row>
    <row r="503" spans="1:3" ht="15.75" customHeight="1" x14ac:dyDescent="0.25">
      <c r="A503" s="6"/>
      <c r="C503" s="51"/>
    </row>
    <row r="504" spans="1:3" ht="15.75" customHeight="1" x14ac:dyDescent="0.25">
      <c r="A504" s="6"/>
      <c r="C504" s="51"/>
    </row>
    <row r="505" spans="1:3" ht="15.75" customHeight="1" x14ac:dyDescent="0.25">
      <c r="A505" s="6"/>
      <c r="C505" s="51"/>
    </row>
    <row r="506" spans="1:3" ht="15.75" customHeight="1" x14ac:dyDescent="0.25">
      <c r="A506" s="6"/>
      <c r="C506" s="51"/>
    </row>
    <row r="507" spans="1:3" ht="15.75" customHeight="1" x14ac:dyDescent="0.25">
      <c r="A507" s="6"/>
      <c r="C507" s="51"/>
    </row>
    <row r="508" spans="1:3" ht="15.75" customHeight="1" x14ac:dyDescent="0.25">
      <c r="A508" s="6"/>
      <c r="C508" s="51"/>
    </row>
    <row r="509" spans="1:3" ht="15.75" customHeight="1" x14ac:dyDescent="0.25">
      <c r="A509" s="6"/>
      <c r="C509" s="51"/>
    </row>
    <row r="510" spans="1:3" ht="15.75" customHeight="1" x14ac:dyDescent="0.25">
      <c r="A510" s="6"/>
      <c r="C510" s="51"/>
    </row>
    <row r="511" spans="1:3" ht="15.75" customHeight="1" x14ac:dyDescent="0.25">
      <c r="A511" s="6"/>
      <c r="C511" s="51"/>
    </row>
    <row r="512" spans="1:3" ht="15.75" customHeight="1" x14ac:dyDescent="0.25">
      <c r="A512" s="6"/>
      <c r="C512" s="51"/>
    </row>
    <row r="513" spans="1:3" ht="15.75" customHeight="1" x14ac:dyDescent="0.25">
      <c r="A513" s="6"/>
      <c r="C513" s="51"/>
    </row>
    <row r="514" spans="1:3" ht="15.75" customHeight="1" x14ac:dyDescent="0.25">
      <c r="A514" s="6"/>
      <c r="C514" s="51"/>
    </row>
    <row r="515" spans="1:3" ht="15.75" customHeight="1" x14ac:dyDescent="0.25">
      <c r="A515" s="6"/>
      <c r="C515" s="51"/>
    </row>
    <row r="516" spans="1:3" ht="15.75" customHeight="1" x14ac:dyDescent="0.25">
      <c r="A516" s="6"/>
      <c r="C516" s="51"/>
    </row>
    <row r="517" spans="1:3" ht="15.75" customHeight="1" x14ac:dyDescent="0.25">
      <c r="A517" s="6"/>
      <c r="C517" s="51"/>
    </row>
    <row r="518" spans="1:3" ht="15.75" customHeight="1" x14ac:dyDescent="0.25">
      <c r="A518" s="6"/>
      <c r="C518" s="51"/>
    </row>
    <row r="519" spans="1:3" ht="15.75" customHeight="1" x14ac:dyDescent="0.25">
      <c r="A519" s="6"/>
      <c r="C519" s="51"/>
    </row>
    <row r="520" spans="1:3" ht="15.75" customHeight="1" x14ac:dyDescent="0.25">
      <c r="A520" s="6"/>
      <c r="C520" s="51"/>
    </row>
    <row r="521" spans="1:3" ht="15.75" customHeight="1" x14ac:dyDescent="0.25">
      <c r="A521" s="6"/>
      <c r="C521" s="51"/>
    </row>
    <row r="522" spans="1:3" ht="15.75" customHeight="1" x14ac:dyDescent="0.25">
      <c r="A522" s="6"/>
      <c r="C522" s="51"/>
    </row>
    <row r="523" spans="1:3" ht="15.75" customHeight="1" x14ac:dyDescent="0.25">
      <c r="A523" s="6"/>
      <c r="C523" s="51"/>
    </row>
    <row r="524" spans="1:3" ht="15.75" customHeight="1" x14ac:dyDescent="0.25">
      <c r="A524" s="6"/>
      <c r="C524" s="51"/>
    </row>
    <row r="525" spans="1:3" ht="15.75" customHeight="1" x14ac:dyDescent="0.25">
      <c r="A525" s="6"/>
      <c r="C525" s="51"/>
    </row>
    <row r="526" spans="1:3" ht="15.75" customHeight="1" x14ac:dyDescent="0.25">
      <c r="A526" s="6"/>
      <c r="C526" s="51"/>
    </row>
    <row r="527" spans="1:3" ht="15.75" customHeight="1" x14ac:dyDescent="0.25">
      <c r="A527" s="6"/>
      <c r="C527" s="51"/>
    </row>
    <row r="528" spans="1:3" ht="15.75" customHeight="1" x14ac:dyDescent="0.25">
      <c r="A528" s="6"/>
      <c r="C528" s="51"/>
    </row>
    <row r="529" spans="1:3" ht="15.75" customHeight="1" x14ac:dyDescent="0.25">
      <c r="A529" s="6"/>
      <c r="C529" s="51"/>
    </row>
    <row r="530" spans="1:3" ht="15.75" customHeight="1" x14ac:dyDescent="0.25">
      <c r="A530" s="6"/>
      <c r="C530" s="51"/>
    </row>
    <row r="531" spans="1:3" ht="15.75" customHeight="1" x14ac:dyDescent="0.25">
      <c r="A531" s="6"/>
      <c r="C531" s="51"/>
    </row>
    <row r="532" spans="1:3" ht="15.75" customHeight="1" x14ac:dyDescent="0.25">
      <c r="A532" s="6"/>
      <c r="C532" s="51"/>
    </row>
    <row r="533" spans="1:3" ht="15.75" customHeight="1" x14ac:dyDescent="0.25">
      <c r="A533" s="6"/>
      <c r="C533" s="51"/>
    </row>
    <row r="534" spans="1:3" ht="15.75" customHeight="1" x14ac:dyDescent="0.25">
      <c r="A534" s="6"/>
      <c r="C534" s="51"/>
    </row>
    <row r="535" spans="1:3" ht="15.75" customHeight="1" x14ac:dyDescent="0.25">
      <c r="A535" s="6"/>
      <c r="C535" s="51"/>
    </row>
    <row r="536" spans="1:3" ht="15.75" customHeight="1" x14ac:dyDescent="0.25">
      <c r="A536" s="6"/>
      <c r="C536" s="51"/>
    </row>
    <row r="537" spans="1:3" ht="15.75" customHeight="1" x14ac:dyDescent="0.25">
      <c r="A537" s="6"/>
      <c r="C537" s="51"/>
    </row>
    <row r="538" spans="1:3" ht="15.75" customHeight="1" x14ac:dyDescent="0.25">
      <c r="A538" s="6"/>
      <c r="C538" s="51"/>
    </row>
    <row r="539" spans="1:3" ht="15.75" customHeight="1" x14ac:dyDescent="0.25">
      <c r="A539" s="6"/>
      <c r="C539" s="51"/>
    </row>
    <row r="540" spans="1:3" ht="15.75" customHeight="1" x14ac:dyDescent="0.25">
      <c r="A540" s="6"/>
      <c r="C540" s="51"/>
    </row>
    <row r="541" spans="1:3" ht="15.75" customHeight="1" x14ac:dyDescent="0.25">
      <c r="A541" s="6"/>
      <c r="C541" s="51"/>
    </row>
    <row r="542" spans="1:3" ht="15.75" customHeight="1" x14ac:dyDescent="0.25">
      <c r="A542" s="6"/>
      <c r="C542" s="51"/>
    </row>
    <row r="543" spans="1:3" ht="15.75" customHeight="1" x14ac:dyDescent="0.25">
      <c r="A543" s="6"/>
      <c r="C543" s="51"/>
    </row>
    <row r="544" spans="1:3" ht="15.75" customHeight="1" x14ac:dyDescent="0.25">
      <c r="A544" s="6"/>
      <c r="C544" s="51"/>
    </row>
    <row r="545" spans="1:3" ht="15.75" customHeight="1" x14ac:dyDescent="0.25">
      <c r="A545" s="6"/>
      <c r="C545" s="51"/>
    </row>
    <row r="546" spans="1:3" ht="15.75" customHeight="1" x14ac:dyDescent="0.25">
      <c r="A546" s="6"/>
      <c r="C546" s="51"/>
    </row>
    <row r="547" spans="1:3" ht="15.75" customHeight="1" x14ac:dyDescent="0.25">
      <c r="A547" s="6"/>
      <c r="C547" s="51"/>
    </row>
    <row r="548" spans="1:3" ht="15.75" customHeight="1" x14ac:dyDescent="0.25">
      <c r="A548" s="6"/>
      <c r="C548" s="51"/>
    </row>
    <row r="549" spans="1:3" ht="15.75" customHeight="1" x14ac:dyDescent="0.25">
      <c r="A549" s="6"/>
      <c r="C549" s="51"/>
    </row>
    <row r="550" spans="1:3" ht="15.75" customHeight="1" x14ac:dyDescent="0.25">
      <c r="A550" s="6"/>
      <c r="C550" s="51"/>
    </row>
    <row r="551" spans="1:3" ht="15.75" customHeight="1" x14ac:dyDescent="0.25">
      <c r="A551" s="6"/>
      <c r="C551" s="51"/>
    </row>
    <row r="552" spans="1:3" ht="15.75" customHeight="1" x14ac:dyDescent="0.25">
      <c r="A552" s="6"/>
      <c r="C552" s="51"/>
    </row>
    <row r="553" spans="1:3" ht="15.75" customHeight="1" x14ac:dyDescent="0.25">
      <c r="A553" s="6"/>
      <c r="C553" s="51"/>
    </row>
    <row r="554" spans="1:3" ht="15.75" customHeight="1" x14ac:dyDescent="0.25">
      <c r="A554" s="6"/>
      <c r="C554" s="51"/>
    </row>
    <row r="555" spans="1:3" ht="15.75" customHeight="1" x14ac:dyDescent="0.25">
      <c r="A555" s="6"/>
      <c r="C555" s="51"/>
    </row>
    <row r="556" spans="1:3" ht="15.75" customHeight="1" x14ac:dyDescent="0.25">
      <c r="A556" s="6"/>
      <c r="C556" s="51"/>
    </row>
    <row r="557" spans="1:3" ht="15.75" customHeight="1" x14ac:dyDescent="0.25">
      <c r="A557" s="6"/>
      <c r="C557" s="51"/>
    </row>
    <row r="558" spans="1:3" ht="15.75" customHeight="1" x14ac:dyDescent="0.25">
      <c r="A558" s="6"/>
      <c r="C558" s="51"/>
    </row>
    <row r="559" spans="1:3" ht="15.75" customHeight="1" x14ac:dyDescent="0.25">
      <c r="A559" s="6"/>
      <c r="C559" s="51"/>
    </row>
    <row r="560" spans="1:3" ht="15.75" customHeight="1" x14ac:dyDescent="0.25">
      <c r="A560" s="6"/>
      <c r="C560" s="51"/>
    </row>
    <row r="561" spans="1:3" ht="15.75" customHeight="1" x14ac:dyDescent="0.25">
      <c r="A561" s="6"/>
      <c r="C561" s="51"/>
    </row>
    <row r="562" spans="1:3" ht="15.75" customHeight="1" x14ac:dyDescent="0.25">
      <c r="A562" s="6"/>
      <c r="C562" s="51"/>
    </row>
    <row r="563" spans="1:3" ht="15.75" customHeight="1" x14ac:dyDescent="0.25">
      <c r="A563" s="6"/>
      <c r="C563" s="51"/>
    </row>
    <row r="564" spans="1:3" ht="15.75" customHeight="1" x14ac:dyDescent="0.25">
      <c r="A564" s="6"/>
      <c r="C564" s="51"/>
    </row>
    <row r="565" spans="1:3" ht="15.75" customHeight="1" x14ac:dyDescent="0.25">
      <c r="A565" s="6"/>
      <c r="C565" s="51"/>
    </row>
    <row r="566" spans="1:3" ht="15.75" customHeight="1" x14ac:dyDescent="0.25">
      <c r="A566" s="6"/>
      <c r="C566" s="51"/>
    </row>
    <row r="567" spans="1:3" ht="15.75" customHeight="1" x14ac:dyDescent="0.25">
      <c r="A567" s="6"/>
      <c r="C567" s="51"/>
    </row>
    <row r="568" spans="1:3" ht="15.75" customHeight="1" x14ac:dyDescent="0.25">
      <c r="A568" s="6"/>
      <c r="C568" s="51"/>
    </row>
    <row r="569" spans="1:3" ht="15.75" customHeight="1" x14ac:dyDescent="0.25">
      <c r="A569" s="6"/>
      <c r="C569" s="51"/>
    </row>
    <row r="570" spans="1:3" ht="15.75" customHeight="1" x14ac:dyDescent="0.25">
      <c r="A570" s="6"/>
      <c r="C570" s="51"/>
    </row>
    <row r="571" spans="1:3" ht="15.75" customHeight="1" x14ac:dyDescent="0.25">
      <c r="A571" s="6"/>
      <c r="C571" s="51"/>
    </row>
    <row r="572" spans="1:3" ht="15.75" customHeight="1" x14ac:dyDescent="0.25">
      <c r="A572" s="6"/>
      <c r="C572" s="51"/>
    </row>
    <row r="573" spans="1:3" ht="15.75" customHeight="1" x14ac:dyDescent="0.25">
      <c r="A573" s="6"/>
      <c r="C573" s="51"/>
    </row>
    <row r="574" spans="1:3" ht="15.75" customHeight="1" x14ac:dyDescent="0.25">
      <c r="A574" s="6"/>
      <c r="C574" s="51"/>
    </row>
    <row r="575" spans="1:3" ht="15.75" customHeight="1" x14ac:dyDescent="0.25">
      <c r="A575" s="6"/>
      <c r="C575" s="51"/>
    </row>
    <row r="576" spans="1:3" ht="15.75" customHeight="1" x14ac:dyDescent="0.25">
      <c r="A576" s="6"/>
      <c r="C576" s="51"/>
    </row>
    <row r="577" spans="1:3" ht="15.75" customHeight="1" x14ac:dyDescent="0.25">
      <c r="A577" s="6"/>
      <c r="C577" s="51"/>
    </row>
    <row r="578" spans="1:3" ht="15.75" customHeight="1" x14ac:dyDescent="0.25">
      <c r="A578" s="6"/>
      <c r="C578" s="51"/>
    </row>
    <row r="579" spans="1:3" ht="15.75" customHeight="1" x14ac:dyDescent="0.25">
      <c r="A579" s="6"/>
      <c r="C579" s="51"/>
    </row>
    <row r="580" spans="1:3" ht="15.75" customHeight="1" x14ac:dyDescent="0.25">
      <c r="A580" s="6"/>
      <c r="C580" s="51"/>
    </row>
    <row r="581" spans="1:3" ht="15.75" customHeight="1" x14ac:dyDescent="0.25">
      <c r="A581" s="6"/>
      <c r="C581" s="51"/>
    </row>
    <row r="582" spans="1:3" ht="15.75" customHeight="1" x14ac:dyDescent="0.25">
      <c r="A582" s="6"/>
      <c r="C582" s="51"/>
    </row>
    <row r="583" spans="1:3" ht="15.75" customHeight="1" x14ac:dyDescent="0.25">
      <c r="A583" s="6"/>
      <c r="C583" s="51"/>
    </row>
    <row r="584" spans="1:3" ht="15.75" customHeight="1" x14ac:dyDescent="0.25">
      <c r="A584" s="6"/>
      <c r="C584" s="51"/>
    </row>
    <row r="585" spans="1:3" ht="15.75" customHeight="1" x14ac:dyDescent="0.25">
      <c r="A585" s="6"/>
      <c r="C585" s="51"/>
    </row>
    <row r="586" spans="1:3" ht="15.75" customHeight="1" x14ac:dyDescent="0.25">
      <c r="A586" s="6"/>
      <c r="C586" s="51"/>
    </row>
    <row r="587" spans="1:3" ht="15.75" customHeight="1" x14ac:dyDescent="0.25">
      <c r="A587" s="6"/>
      <c r="C587" s="51"/>
    </row>
    <row r="588" spans="1:3" ht="15.75" customHeight="1" x14ac:dyDescent="0.25">
      <c r="A588" s="6"/>
      <c r="C588" s="51"/>
    </row>
    <row r="589" spans="1:3" ht="15.75" customHeight="1" x14ac:dyDescent="0.25">
      <c r="A589" s="6"/>
      <c r="C589" s="51"/>
    </row>
    <row r="590" spans="1:3" ht="15.75" customHeight="1" x14ac:dyDescent="0.25">
      <c r="A590" s="6"/>
      <c r="C590" s="51"/>
    </row>
    <row r="591" spans="1:3" ht="15.75" customHeight="1" x14ac:dyDescent="0.25">
      <c r="A591" s="6"/>
      <c r="C591" s="51"/>
    </row>
    <row r="592" spans="1:3" ht="15.75" customHeight="1" x14ac:dyDescent="0.25">
      <c r="A592" s="6"/>
      <c r="C592" s="51"/>
    </row>
    <row r="593" spans="1:3" ht="15.75" customHeight="1" x14ac:dyDescent="0.25">
      <c r="A593" s="6"/>
      <c r="C593" s="51"/>
    </row>
    <row r="594" spans="1:3" ht="15.75" customHeight="1" x14ac:dyDescent="0.25">
      <c r="A594" s="6"/>
      <c r="C594" s="51"/>
    </row>
    <row r="595" spans="1:3" ht="15.75" customHeight="1" x14ac:dyDescent="0.25">
      <c r="A595" s="6"/>
      <c r="C595" s="51"/>
    </row>
    <row r="596" spans="1:3" ht="15.75" customHeight="1" x14ac:dyDescent="0.25">
      <c r="A596" s="6"/>
      <c r="C596" s="51"/>
    </row>
    <row r="597" spans="1:3" ht="15.75" customHeight="1" x14ac:dyDescent="0.25">
      <c r="A597" s="6"/>
      <c r="C597" s="51"/>
    </row>
    <row r="598" spans="1:3" ht="15.75" customHeight="1" x14ac:dyDescent="0.25">
      <c r="A598" s="6"/>
      <c r="C598" s="51"/>
    </row>
    <row r="599" spans="1:3" ht="15.75" customHeight="1" x14ac:dyDescent="0.25">
      <c r="A599" s="6"/>
      <c r="C599" s="51"/>
    </row>
    <row r="600" spans="1:3" ht="15.75" customHeight="1" x14ac:dyDescent="0.25">
      <c r="A600" s="6"/>
      <c r="C600" s="51"/>
    </row>
    <row r="601" spans="1:3" ht="15.75" customHeight="1" x14ac:dyDescent="0.25">
      <c r="A601" s="6"/>
      <c r="C601" s="51"/>
    </row>
    <row r="602" spans="1:3" ht="15.75" customHeight="1" x14ac:dyDescent="0.25">
      <c r="A602" s="6"/>
      <c r="C602" s="51"/>
    </row>
    <row r="603" spans="1:3" ht="15.75" customHeight="1" x14ac:dyDescent="0.25">
      <c r="A603" s="6"/>
      <c r="C603" s="51"/>
    </row>
    <row r="604" spans="1:3" ht="15.75" customHeight="1" x14ac:dyDescent="0.25">
      <c r="A604" s="6"/>
      <c r="C604" s="51"/>
    </row>
    <row r="605" spans="1:3" ht="15.75" customHeight="1" x14ac:dyDescent="0.25">
      <c r="A605" s="6"/>
      <c r="C605" s="51"/>
    </row>
    <row r="606" spans="1:3" ht="15.75" customHeight="1" x14ac:dyDescent="0.25">
      <c r="A606" s="6"/>
      <c r="C606" s="51"/>
    </row>
    <row r="607" spans="1:3" ht="15.75" customHeight="1" x14ac:dyDescent="0.25">
      <c r="A607" s="6"/>
      <c r="C607" s="51"/>
    </row>
    <row r="608" spans="1:3" ht="15.75" customHeight="1" x14ac:dyDescent="0.25">
      <c r="A608" s="6"/>
      <c r="C608" s="51"/>
    </row>
    <row r="609" spans="1:3" ht="15.75" customHeight="1" x14ac:dyDescent="0.25">
      <c r="A609" s="6"/>
      <c r="C609" s="51"/>
    </row>
    <row r="610" spans="1:3" ht="15.75" customHeight="1" x14ac:dyDescent="0.25">
      <c r="A610" s="6"/>
      <c r="C610" s="51"/>
    </row>
    <row r="611" spans="1:3" ht="15.75" customHeight="1" x14ac:dyDescent="0.25">
      <c r="A611" s="6"/>
      <c r="C611" s="51"/>
    </row>
    <row r="612" spans="1:3" ht="15.75" customHeight="1" x14ac:dyDescent="0.25">
      <c r="A612" s="6"/>
      <c r="C612" s="51"/>
    </row>
    <row r="613" spans="1:3" ht="15.75" customHeight="1" x14ac:dyDescent="0.25">
      <c r="A613" s="6"/>
      <c r="C613" s="51"/>
    </row>
    <row r="614" spans="1:3" ht="15.75" customHeight="1" x14ac:dyDescent="0.25">
      <c r="A614" s="6"/>
      <c r="C614" s="51"/>
    </row>
    <row r="615" spans="1:3" ht="15.75" customHeight="1" x14ac:dyDescent="0.25">
      <c r="A615" s="6"/>
      <c r="C615" s="51"/>
    </row>
    <row r="616" spans="1:3" ht="15.75" customHeight="1" x14ac:dyDescent="0.25">
      <c r="A616" s="6"/>
      <c r="C616" s="51"/>
    </row>
    <row r="617" spans="1:3" ht="15.75" customHeight="1" x14ac:dyDescent="0.25">
      <c r="A617" s="6"/>
      <c r="C617" s="51"/>
    </row>
    <row r="618" spans="1:3" ht="15.75" customHeight="1" x14ac:dyDescent="0.25">
      <c r="A618" s="6"/>
      <c r="C618" s="51"/>
    </row>
    <row r="619" spans="1:3" ht="15.75" customHeight="1" x14ac:dyDescent="0.25">
      <c r="A619" s="6"/>
      <c r="C619" s="51"/>
    </row>
    <row r="620" spans="1:3" ht="15.75" customHeight="1" x14ac:dyDescent="0.25">
      <c r="A620" s="6"/>
      <c r="C620" s="51"/>
    </row>
    <row r="621" spans="1:3" ht="15.75" customHeight="1" x14ac:dyDescent="0.25">
      <c r="A621" s="6"/>
      <c r="C621" s="51"/>
    </row>
    <row r="622" spans="1:3" ht="15.75" customHeight="1" x14ac:dyDescent="0.25">
      <c r="A622" s="6"/>
      <c r="C622" s="51"/>
    </row>
    <row r="623" spans="1:3" ht="15.75" customHeight="1" x14ac:dyDescent="0.25">
      <c r="A623" s="6"/>
      <c r="C623" s="51"/>
    </row>
    <row r="624" spans="1:3" ht="15.75" customHeight="1" x14ac:dyDescent="0.25">
      <c r="A624" s="6"/>
      <c r="C624" s="51"/>
    </row>
    <row r="625" spans="1:3" ht="15.75" customHeight="1" x14ac:dyDescent="0.25">
      <c r="A625" s="6"/>
      <c r="C625" s="51"/>
    </row>
    <row r="626" spans="1:3" ht="15.75" customHeight="1" x14ac:dyDescent="0.25">
      <c r="A626" s="6"/>
      <c r="C626" s="51"/>
    </row>
    <row r="627" spans="1:3" ht="15.75" customHeight="1" x14ac:dyDescent="0.25">
      <c r="A627" s="6"/>
      <c r="C627" s="51"/>
    </row>
    <row r="628" spans="1:3" ht="15.75" customHeight="1" x14ac:dyDescent="0.25">
      <c r="A628" s="6"/>
      <c r="C628" s="51"/>
    </row>
    <row r="629" spans="1:3" ht="15.75" customHeight="1" x14ac:dyDescent="0.25">
      <c r="A629" s="6"/>
      <c r="C629" s="51"/>
    </row>
    <row r="630" spans="1:3" ht="15.75" customHeight="1" x14ac:dyDescent="0.25">
      <c r="A630" s="6"/>
      <c r="C630" s="51"/>
    </row>
    <row r="631" spans="1:3" ht="15.75" customHeight="1" x14ac:dyDescent="0.25">
      <c r="A631" s="6"/>
      <c r="C631" s="51"/>
    </row>
    <row r="632" spans="1:3" ht="15.75" customHeight="1" x14ac:dyDescent="0.25">
      <c r="A632" s="6"/>
      <c r="C632" s="51"/>
    </row>
    <row r="633" spans="1:3" ht="15.75" customHeight="1" x14ac:dyDescent="0.25">
      <c r="A633" s="6"/>
      <c r="C633" s="51"/>
    </row>
    <row r="634" spans="1:3" ht="15.75" customHeight="1" x14ac:dyDescent="0.25">
      <c r="A634" s="6"/>
      <c r="C634" s="51"/>
    </row>
    <row r="635" spans="1:3" ht="15.75" customHeight="1" x14ac:dyDescent="0.25">
      <c r="A635" s="6"/>
      <c r="C635" s="51"/>
    </row>
    <row r="636" spans="1:3" ht="15.75" customHeight="1" x14ac:dyDescent="0.25">
      <c r="A636" s="6"/>
      <c r="C636" s="51"/>
    </row>
    <row r="637" spans="1:3" ht="15.75" customHeight="1" x14ac:dyDescent="0.25">
      <c r="A637" s="6"/>
      <c r="C637" s="51"/>
    </row>
    <row r="638" spans="1:3" ht="15.75" customHeight="1" x14ac:dyDescent="0.25">
      <c r="A638" s="6"/>
      <c r="C638" s="51"/>
    </row>
    <row r="639" spans="1:3" ht="15.75" customHeight="1" x14ac:dyDescent="0.25">
      <c r="A639" s="6"/>
      <c r="C639" s="51"/>
    </row>
    <row r="640" spans="1:3" ht="15.75" customHeight="1" x14ac:dyDescent="0.25">
      <c r="A640" s="6"/>
      <c r="C640" s="51"/>
    </row>
    <row r="641" spans="1:3" ht="15.75" customHeight="1" x14ac:dyDescent="0.25">
      <c r="A641" s="6"/>
      <c r="C641" s="51"/>
    </row>
    <row r="642" spans="1:3" ht="15.75" customHeight="1" x14ac:dyDescent="0.25">
      <c r="A642" s="6"/>
      <c r="C642" s="51"/>
    </row>
    <row r="643" spans="1:3" ht="15.75" customHeight="1" x14ac:dyDescent="0.25">
      <c r="A643" s="6"/>
      <c r="C643" s="51"/>
    </row>
    <row r="644" spans="1:3" ht="15.75" customHeight="1" x14ac:dyDescent="0.25">
      <c r="A644" s="6"/>
      <c r="C644" s="51"/>
    </row>
    <row r="645" spans="1:3" ht="15.75" customHeight="1" x14ac:dyDescent="0.25">
      <c r="A645" s="6"/>
      <c r="C645" s="51"/>
    </row>
    <row r="646" spans="1:3" ht="15.75" customHeight="1" x14ac:dyDescent="0.25">
      <c r="A646" s="6"/>
      <c r="C646" s="51"/>
    </row>
    <row r="647" spans="1:3" ht="15.75" customHeight="1" x14ac:dyDescent="0.25">
      <c r="A647" s="6"/>
      <c r="C647" s="51"/>
    </row>
    <row r="648" spans="1:3" ht="15.75" customHeight="1" x14ac:dyDescent="0.25">
      <c r="A648" s="6"/>
      <c r="C648" s="51"/>
    </row>
    <row r="649" spans="1:3" ht="15.75" customHeight="1" x14ac:dyDescent="0.25">
      <c r="A649" s="6"/>
      <c r="C649" s="51"/>
    </row>
    <row r="650" spans="1:3" ht="15.75" customHeight="1" x14ac:dyDescent="0.25">
      <c r="A650" s="6"/>
      <c r="C650" s="51"/>
    </row>
    <row r="651" spans="1:3" ht="15.75" customHeight="1" x14ac:dyDescent="0.25">
      <c r="A651" s="6"/>
      <c r="C651" s="51"/>
    </row>
    <row r="652" spans="1:3" ht="15.75" customHeight="1" x14ac:dyDescent="0.25">
      <c r="A652" s="6"/>
      <c r="C652" s="51"/>
    </row>
    <row r="653" spans="1:3" ht="15.75" customHeight="1" x14ac:dyDescent="0.25">
      <c r="A653" s="6"/>
      <c r="C653" s="51"/>
    </row>
    <row r="654" spans="1:3" ht="15.75" customHeight="1" x14ac:dyDescent="0.25">
      <c r="A654" s="6"/>
      <c r="C654" s="51"/>
    </row>
    <row r="655" spans="1:3" ht="15.75" customHeight="1" x14ac:dyDescent="0.25">
      <c r="A655" s="6"/>
      <c r="C655" s="51"/>
    </row>
    <row r="656" spans="1:3" ht="15.75" customHeight="1" x14ac:dyDescent="0.25">
      <c r="A656" s="6"/>
      <c r="C656" s="51"/>
    </row>
    <row r="657" spans="1:3" ht="15.75" customHeight="1" x14ac:dyDescent="0.25">
      <c r="A657" s="6"/>
      <c r="C657" s="51"/>
    </row>
    <row r="658" spans="1:3" ht="15.75" customHeight="1" x14ac:dyDescent="0.25">
      <c r="A658" s="6"/>
      <c r="C658" s="51"/>
    </row>
    <row r="659" spans="1:3" ht="15.75" customHeight="1" x14ac:dyDescent="0.25">
      <c r="A659" s="6"/>
      <c r="C659" s="51"/>
    </row>
    <row r="660" spans="1:3" ht="15.75" customHeight="1" x14ac:dyDescent="0.25">
      <c r="A660" s="6"/>
      <c r="C660" s="51"/>
    </row>
    <row r="661" spans="1:3" ht="15.75" customHeight="1" x14ac:dyDescent="0.25">
      <c r="A661" s="6"/>
      <c r="C661" s="51"/>
    </row>
    <row r="662" spans="1:3" ht="15.75" customHeight="1" x14ac:dyDescent="0.25">
      <c r="A662" s="6"/>
      <c r="C662" s="51"/>
    </row>
    <row r="663" spans="1:3" ht="15.75" customHeight="1" x14ac:dyDescent="0.25">
      <c r="A663" s="6"/>
      <c r="C663" s="51"/>
    </row>
    <row r="664" spans="1:3" ht="15.75" customHeight="1" x14ac:dyDescent="0.25">
      <c r="A664" s="6"/>
      <c r="C664" s="51"/>
    </row>
    <row r="665" spans="1:3" ht="15.75" customHeight="1" x14ac:dyDescent="0.25">
      <c r="A665" s="6"/>
      <c r="C665" s="51"/>
    </row>
    <row r="666" spans="1:3" ht="15.75" customHeight="1" x14ac:dyDescent="0.25">
      <c r="A666" s="6"/>
      <c r="C666" s="51"/>
    </row>
    <row r="667" spans="1:3" ht="15.75" customHeight="1" x14ac:dyDescent="0.25">
      <c r="A667" s="6"/>
      <c r="C667" s="51"/>
    </row>
    <row r="668" spans="1:3" ht="15.75" customHeight="1" x14ac:dyDescent="0.25">
      <c r="A668" s="6"/>
      <c r="C668" s="51"/>
    </row>
    <row r="669" spans="1:3" ht="15.75" customHeight="1" x14ac:dyDescent="0.25">
      <c r="A669" s="6"/>
      <c r="C669" s="51"/>
    </row>
    <row r="670" spans="1:3" ht="15.75" customHeight="1" x14ac:dyDescent="0.25">
      <c r="A670" s="6"/>
      <c r="C670" s="51"/>
    </row>
    <row r="671" spans="1:3" ht="15.75" customHeight="1" x14ac:dyDescent="0.25">
      <c r="A671" s="6"/>
      <c r="C671" s="51"/>
    </row>
    <row r="672" spans="1:3" ht="15.75" customHeight="1" x14ac:dyDescent="0.25">
      <c r="A672" s="6"/>
      <c r="C672" s="51"/>
    </row>
    <row r="673" spans="1:3" ht="15.75" customHeight="1" x14ac:dyDescent="0.25">
      <c r="A673" s="6"/>
      <c r="C673" s="51"/>
    </row>
    <row r="674" spans="1:3" ht="15.75" customHeight="1" x14ac:dyDescent="0.25">
      <c r="A674" s="6"/>
      <c r="C674" s="51"/>
    </row>
    <row r="675" spans="1:3" ht="15.75" customHeight="1" x14ac:dyDescent="0.25">
      <c r="A675" s="6"/>
      <c r="C675" s="51"/>
    </row>
    <row r="676" spans="1:3" ht="15.75" customHeight="1" x14ac:dyDescent="0.25">
      <c r="A676" s="6"/>
      <c r="C676" s="51"/>
    </row>
    <row r="677" spans="1:3" ht="15.75" customHeight="1" x14ac:dyDescent="0.25">
      <c r="A677" s="6"/>
      <c r="C677" s="51"/>
    </row>
    <row r="678" spans="1:3" ht="15.75" customHeight="1" x14ac:dyDescent="0.25">
      <c r="A678" s="6"/>
      <c r="C678" s="51"/>
    </row>
    <row r="679" spans="1:3" ht="15.75" customHeight="1" x14ac:dyDescent="0.25">
      <c r="A679" s="6"/>
      <c r="C679" s="51"/>
    </row>
    <row r="680" spans="1:3" ht="15.75" customHeight="1" x14ac:dyDescent="0.25">
      <c r="A680" s="6"/>
      <c r="C680" s="51"/>
    </row>
    <row r="681" spans="1:3" ht="15.75" customHeight="1" x14ac:dyDescent="0.25">
      <c r="A681" s="6"/>
      <c r="C681" s="51"/>
    </row>
    <row r="682" spans="1:3" ht="15.75" customHeight="1" x14ac:dyDescent="0.25">
      <c r="A682" s="6"/>
      <c r="C682" s="51"/>
    </row>
    <row r="683" spans="1:3" ht="15.75" customHeight="1" x14ac:dyDescent="0.25">
      <c r="A683" s="6"/>
      <c r="C683" s="51"/>
    </row>
    <row r="684" spans="1:3" ht="15.75" customHeight="1" x14ac:dyDescent="0.25">
      <c r="A684" s="6"/>
      <c r="C684" s="51"/>
    </row>
    <row r="685" spans="1:3" ht="15.75" customHeight="1" x14ac:dyDescent="0.25">
      <c r="A685" s="6"/>
      <c r="C685" s="51"/>
    </row>
    <row r="686" spans="1:3" ht="15.75" customHeight="1" x14ac:dyDescent="0.25">
      <c r="A686" s="6"/>
      <c r="C686" s="51"/>
    </row>
    <row r="687" spans="1:3" ht="15.75" customHeight="1" x14ac:dyDescent="0.25">
      <c r="A687" s="6"/>
      <c r="C687" s="51"/>
    </row>
    <row r="688" spans="1:3" ht="15.75" customHeight="1" x14ac:dyDescent="0.25">
      <c r="A688" s="6"/>
      <c r="C688" s="51"/>
    </row>
    <row r="689" spans="1:3" ht="15.75" customHeight="1" x14ac:dyDescent="0.25">
      <c r="A689" s="6"/>
      <c r="C689" s="51"/>
    </row>
    <row r="690" spans="1:3" ht="15.75" customHeight="1" x14ac:dyDescent="0.25">
      <c r="A690" s="6"/>
      <c r="C690" s="51"/>
    </row>
    <row r="691" spans="1:3" ht="15.75" customHeight="1" x14ac:dyDescent="0.25">
      <c r="A691" s="6"/>
      <c r="C691" s="51"/>
    </row>
    <row r="692" spans="1:3" ht="15.75" customHeight="1" x14ac:dyDescent="0.25">
      <c r="A692" s="6"/>
      <c r="C692" s="51"/>
    </row>
    <row r="693" spans="1:3" ht="15.75" customHeight="1" x14ac:dyDescent="0.25">
      <c r="A693" s="6"/>
      <c r="C693" s="51"/>
    </row>
    <row r="694" spans="1:3" ht="15.75" customHeight="1" x14ac:dyDescent="0.25">
      <c r="A694" s="6"/>
      <c r="C694" s="51"/>
    </row>
    <row r="695" spans="1:3" ht="15.75" customHeight="1" x14ac:dyDescent="0.25">
      <c r="A695" s="6"/>
      <c r="C695" s="51"/>
    </row>
    <row r="696" spans="1:3" ht="15.75" customHeight="1" x14ac:dyDescent="0.25">
      <c r="A696" s="6"/>
      <c r="C696" s="51"/>
    </row>
    <row r="697" spans="1:3" ht="15.75" customHeight="1" x14ac:dyDescent="0.25">
      <c r="A697" s="6"/>
      <c r="C697" s="51"/>
    </row>
    <row r="698" spans="1:3" ht="15.75" customHeight="1" x14ac:dyDescent="0.25">
      <c r="A698" s="6"/>
      <c r="C698" s="51"/>
    </row>
    <row r="699" spans="1:3" ht="15.75" customHeight="1" x14ac:dyDescent="0.25">
      <c r="A699" s="6"/>
      <c r="C699" s="51"/>
    </row>
    <row r="700" spans="1:3" ht="15.75" customHeight="1" x14ac:dyDescent="0.25">
      <c r="A700" s="6"/>
      <c r="C700" s="51"/>
    </row>
    <row r="701" spans="1:3" ht="15.75" customHeight="1" x14ac:dyDescent="0.25">
      <c r="A701" s="6"/>
      <c r="C701" s="51"/>
    </row>
    <row r="702" spans="1:3" ht="15.75" customHeight="1" x14ac:dyDescent="0.25">
      <c r="A702" s="6"/>
      <c r="C702" s="51"/>
    </row>
    <row r="703" spans="1:3" ht="15.75" customHeight="1" x14ac:dyDescent="0.25">
      <c r="A703" s="6"/>
      <c r="C703" s="51"/>
    </row>
    <row r="704" spans="1:3" ht="15.75" customHeight="1" x14ac:dyDescent="0.25">
      <c r="A704" s="6"/>
      <c r="C704" s="51"/>
    </row>
    <row r="705" spans="1:3" ht="15.75" customHeight="1" x14ac:dyDescent="0.25">
      <c r="A705" s="6"/>
      <c r="C705" s="51"/>
    </row>
    <row r="706" spans="1:3" ht="15.75" customHeight="1" x14ac:dyDescent="0.25">
      <c r="A706" s="6"/>
      <c r="C706" s="51"/>
    </row>
    <row r="707" spans="1:3" ht="15.75" customHeight="1" x14ac:dyDescent="0.25">
      <c r="A707" s="6"/>
      <c r="C707" s="51"/>
    </row>
    <row r="708" spans="1:3" ht="15.75" customHeight="1" x14ac:dyDescent="0.25">
      <c r="A708" s="6"/>
      <c r="C708" s="51"/>
    </row>
    <row r="709" spans="1:3" ht="15.75" customHeight="1" x14ac:dyDescent="0.25">
      <c r="A709" s="6"/>
      <c r="C709" s="51"/>
    </row>
    <row r="710" spans="1:3" ht="15.75" customHeight="1" x14ac:dyDescent="0.25">
      <c r="A710" s="6"/>
      <c r="C710" s="51"/>
    </row>
    <row r="711" spans="1:3" ht="15.75" customHeight="1" x14ac:dyDescent="0.25">
      <c r="A711" s="6"/>
      <c r="C711" s="51"/>
    </row>
    <row r="712" spans="1:3" ht="15.75" customHeight="1" x14ac:dyDescent="0.25">
      <c r="A712" s="6"/>
      <c r="C712" s="51"/>
    </row>
    <row r="713" spans="1:3" ht="15.75" customHeight="1" x14ac:dyDescent="0.25">
      <c r="A713" s="6"/>
      <c r="C713" s="51"/>
    </row>
    <row r="714" spans="1:3" ht="15.75" customHeight="1" x14ac:dyDescent="0.25">
      <c r="A714" s="6"/>
      <c r="C714" s="51"/>
    </row>
    <row r="715" spans="1:3" ht="15.75" customHeight="1" x14ac:dyDescent="0.25">
      <c r="A715" s="6"/>
      <c r="C715" s="51"/>
    </row>
    <row r="716" spans="1:3" ht="15.75" customHeight="1" x14ac:dyDescent="0.25">
      <c r="A716" s="6"/>
      <c r="C716" s="51"/>
    </row>
    <row r="717" spans="1:3" ht="15.75" customHeight="1" x14ac:dyDescent="0.25">
      <c r="A717" s="6"/>
      <c r="C717" s="51"/>
    </row>
    <row r="718" spans="1:3" ht="15.75" customHeight="1" x14ac:dyDescent="0.25">
      <c r="A718" s="6"/>
      <c r="C718" s="51"/>
    </row>
    <row r="719" spans="1:3" ht="15.75" customHeight="1" x14ac:dyDescent="0.25">
      <c r="A719" s="6"/>
      <c r="C719" s="51"/>
    </row>
    <row r="720" spans="1:3" ht="15.75" customHeight="1" x14ac:dyDescent="0.25">
      <c r="A720" s="6"/>
      <c r="C720" s="51"/>
    </row>
    <row r="721" spans="1:3" ht="15.75" customHeight="1" x14ac:dyDescent="0.25">
      <c r="A721" s="6"/>
      <c r="C721" s="51"/>
    </row>
    <row r="722" spans="1:3" ht="15.75" customHeight="1" x14ac:dyDescent="0.25">
      <c r="A722" s="6"/>
      <c r="C722" s="51"/>
    </row>
    <row r="723" spans="1:3" ht="15.75" customHeight="1" x14ac:dyDescent="0.25">
      <c r="A723" s="6"/>
      <c r="C723" s="51"/>
    </row>
    <row r="724" spans="1:3" ht="15.75" customHeight="1" x14ac:dyDescent="0.25">
      <c r="A724" s="6"/>
      <c r="C724" s="51"/>
    </row>
    <row r="725" spans="1:3" ht="15.75" customHeight="1" x14ac:dyDescent="0.25">
      <c r="A725" s="6"/>
      <c r="C725" s="51"/>
    </row>
    <row r="726" spans="1:3" ht="15.75" customHeight="1" x14ac:dyDescent="0.25">
      <c r="A726" s="6"/>
      <c r="C726" s="51"/>
    </row>
    <row r="727" spans="1:3" ht="15.75" customHeight="1" x14ac:dyDescent="0.25">
      <c r="A727" s="6"/>
      <c r="C727" s="51"/>
    </row>
    <row r="728" spans="1:3" ht="15.75" customHeight="1" x14ac:dyDescent="0.25">
      <c r="A728" s="6"/>
      <c r="C728" s="51"/>
    </row>
    <row r="729" spans="1:3" ht="15.75" customHeight="1" x14ac:dyDescent="0.25">
      <c r="A729" s="6"/>
      <c r="C729" s="51"/>
    </row>
    <row r="730" spans="1:3" ht="15.75" customHeight="1" x14ac:dyDescent="0.25">
      <c r="A730" s="6"/>
      <c r="C730" s="51"/>
    </row>
    <row r="731" spans="1:3" ht="15.75" customHeight="1" x14ac:dyDescent="0.25">
      <c r="A731" s="6"/>
      <c r="C731" s="51"/>
    </row>
    <row r="732" spans="1:3" ht="15.75" customHeight="1" x14ac:dyDescent="0.25">
      <c r="A732" s="6"/>
      <c r="C732" s="51"/>
    </row>
    <row r="733" spans="1:3" ht="15.75" customHeight="1" x14ac:dyDescent="0.25">
      <c r="A733" s="6"/>
      <c r="C733" s="51"/>
    </row>
    <row r="734" spans="1:3" ht="15.75" customHeight="1" x14ac:dyDescent="0.25">
      <c r="A734" s="6"/>
      <c r="C734" s="51"/>
    </row>
    <row r="735" spans="1:3" ht="15.75" customHeight="1" x14ac:dyDescent="0.25">
      <c r="A735" s="6"/>
      <c r="C735" s="51"/>
    </row>
    <row r="736" spans="1:3" ht="15.75" customHeight="1" x14ac:dyDescent="0.25">
      <c r="A736" s="6"/>
      <c r="C736" s="51"/>
    </row>
    <row r="737" spans="1:3" ht="15.75" customHeight="1" x14ac:dyDescent="0.25">
      <c r="A737" s="6"/>
      <c r="C737" s="51"/>
    </row>
    <row r="738" spans="1:3" ht="15.75" customHeight="1" x14ac:dyDescent="0.25">
      <c r="A738" s="6"/>
      <c r="C738" s="51"/>
    </row>
    <row r="739" spans="1:3" ht="15.75" customHeight="1" x14ac:dyDescent="0.25">
      <c r="A739" s="6"/>
      <c r="C739" s="51"/>
    </row>
    <row r="740" spans="1:3" ht="15.75" customHeight="1" x14ac:dyDescent="0.25">
      <c r="A740" s="6"/>
      <c r="C740" s="51"/>
    </row>
    <row r="741" spans="1:3" ht="15.75" customHeight="1" x14ac:dyDescent="0.25">
      <c r="A741" s="6"/>
      <c r="C741" s="51"/>
    </row>
    <row r="742" spans="1:3" ht="15.75" customHeight="1" x14ac:dyDescent="0.25">
      <c r="A742" s="6"/>
      <c r="C742" s="51"/>
    </row>
    <row r="743" spans="1:3" ht="15.75" customHeight="1" x14ac:dyDescent="0.25">
      <c r="A743" s="6"/>
      <c r="C743" s="51"/>
    </row>
    <row r="744" spans="1:3" ht="15.75" customHeight="1" x14ac:dyDescent="0.25">
      <c r="A744" s="6"/>
      <c r="C744" s="51"/>
    </row>
    <row r="745" spans="1:3" ht="15.75" customHeight="1" x14ac:dyDescent="0.25">
      <c r="A745" s="6"/>
      <c r="C745" s="51"/>
    </row>
    <row r="746" spans="1:3" ht="15.75" customHeight="1" x14ac:dyDescent="0.25">
      <c r="A746" s="6"/>
      <c r="C746" s="51"/>
    </row>
    <row r="747" spans="1:3" ht="15.75" customHeight="1" x14ac:dyDescent="0.25">
      <c r="A747" s="6"/>
      <c r="C747" s="51"/>
    </row>
    <row r="748" spans="1:3" ht="15.75" customHeight="1" x14ac:dyDescent="0.25">
      <c r="A748" s="6"/>
      <c r="C748" s="51"/>
    </row>
    <row r="749" spans="1:3" ht="15.75" customHeight="1" x14ac:dyDescent="0.25">
      <c r="A749" s="6"/>
      <c r="C749" s="51"/>
    </row>
    <row r="750" spans="1:3" ht="15.75" customHeight="1" x14ac:dyDescent="0.25">
      <c r="A750" s="6"/>
      <c r="C750" s="51"/>
    </row>
    <row r="751" spans="1:3" ht="15.75" customHeight="1" x14ac:dyDescent="0.25">
      <c r="A751" s="6"/>
      <c r="C751" s="51"/>
    </row>
    <row r="752" spans="1:3" ht="15.75" customHeight="1" x14ac:dyDescent="0.25">
      <c r="A752" s="6"/>
      <c r="C752" s="51"/>
    </row>
    <row r="753" spans="1:3" ht="15.75" customHeight="1" x14ac:dyDescent="0.25">
      <c r="A753" s="6"/>
      <c r="C753" s="51"/>
    </row>
    <row r="754" spans="1:3" ht="15.75" customHeight="1" x14ac:dyDescent="0.25">
      <c r="A754" s="6"/>
      <c r="C754" s="51"/>
    </row>
    <row r="755" spans="1:3" ht="15.75" customHeight="1" x14ac:dyDescent="0.25">
      <c r="A755" s="6"/>
      <c r="C755" s="51"/>
    </row>
    <row r="756" spans="1:3" ht="15.75" customHeight="1" x14ac:dyDescent="0.25">
      <c r="A756" s="6"/>
      <c r="C756" s="51"/>
    </row>
    <row r="757" spans="1:3" ht="15.75" customHeight="1" x14ac:dyDescent="0.25">
      <c r="A757" s="6"/>
      <c r="C757" s="51"/>
    </row>
    <row r="758" spans="1:3" ht="15.75" customHeight="1" x14ac:dyDescent="0.25">
      <c r="A758" s="6"/>
      <c r="C758" s="51"/>
    </row>
    <row r="759" spans="1:3" ht="15.75" customHeight="1" x14ac:dyDescent="0.25">
      <c r="A759" s="6"/>
      <c r="C759" s="51"/>
    </row>
    <row r="760" spans="1:3" ht="15.75" customHeight="1" x14ac:dyDescent="0.25">
      <c r="A760" s="6"/>
      <c r="C760" s="51"/>
    </row>
    <row r="761" spans="1:3" ht="15.75" customHeight="1" x14ac:dyDescent="0.25">
      <c r="A761" s="6"/>
      <c r="C761" s="51"/>
    </row>
    <row r="762" spans="1:3" ht="15.75" customHeight="1" x14ac:dyDescent="0.25">
      <c r="A762" s="6"/>
      <c r="C762" s="51"/>
    </row>
    <row r="763" spans="1:3" ht="15.75" customHeight="1" x14ac:dyDescent="0.25">
      <c r="A763" s="6"/>
      <c r="C763" s="51"/>
    </row>
    <row r="764" spans="1:3" ht="15.75" customHeight="1" x14ac:dyDescent="0.25">
      <c r="A764" s="6"/>
      <c r="C764" s="51"/>
    </row>
    <row r="765" spans="1:3" ht="15.75" customHeight="1" x14ac:dyDescent="0.25">
      <c r="A765" s="6"/>
      <c r="C765" s="51"/>
    </row>
    <row r="766" spans="1:3" ht="15.75" customHeight="1" x14ac:dyDescent="0.25">
      <c r="A766" s="6"/>
      <c r="C766" s="51"/>
    </row>
    <row r="767" spans="1:3" ht="15.75" customHeight="1" x14ac:dyDescent="0.25">
      <c r="A767" s="6"/>
      <c r="C767" s="51"/>
    </row>
    <row r="768" spans="1:3" ht="15.75" customHeight="1" x14ac:dyDescent="0.25">
      <c r="A768" s="6"/>
      <c r="C768" s="51"/>
    </row>
    <row r="769" spans="1:3" ht="15.75" customHeight="1" x14ac:dyDescent="0.25">
      <c r="A769" s="6"/>
      <c r="C769" s="51"/>
    </row>
    <row r="770" spans="1:3" ht="15.75" customHeight="1" x14ac:dyDescent="0.25">
      <c r="A770" s="6"/>
      <c r="C770" s="51"/>
    </row>
    <row r="771" spans="1:3" ht="15.75" customHeight="1" x14ac:dyDescent="0.25">
      <c r="A771" s="6"/>
      <c r="C771" s="51"/>
    </row>
    <row r="772" spans="1:3" ht="15.75" customHeight="1" x14ac:dyDescent="0.25">
      <c r="A772" s="6"/>
      <c r="C772" s="51"/>
    </row>
    <row r="773" spans="1:3" ht="15.75" customHeight="1" x14ac:dyDescent="0.25">
      <c r="A773" s="6"/>
      <c r="C773" s="51"/>
    </row>
    <row r="774" spans="1:3" ht="15.75" customHeight="1" x14ac:dyDescent="0.25">
      <c r="A774" s="6"/>
      <c r="C774" s="51"/>
    </row>
    <row r="775" spans="1:3" ht="15.75" customHeight="1" x14ac:dyDescent="0.25">
      <c r="A775" s="6"/>
      <c r="C775" s="51"/>
    </row>
    <row r="776" spans="1:3" ht="15.75" customHeight="1" x14ac:dyDescent="0.25">
      <c r="A776" s="6"/>
      <c r="C776" s="51"/>
    </row>
    <row r="777" spans="1:3" ht="15.75" customHeight="1" x14ac:dyDescent="0.25">
      <c r="A777" s="6"/>
      <c r="C777" s="51"/>
    </row>
    <row r="778" spans="1:3" ht="15.75" customHeight="1" x14ac:dyDescent="0.25">
      <c r="A778" s="6"/>
      <c r="C778" s="51"/>
    </row>
    <row r="779" spans="1:3" ht="15.75" customHeight="1" x14ac:dyDescent="0.25">
      <c r="A779" s="6"/>
      <c r="C779" s="51"/>
    </row>
    <row r="780" spans="1:3" ht="15.75" customHeight="1" x14ac:dyDescent="0.25">
      <c r="A780" s="6"/>
      <c r="C780" s="51"/>
    </row>
    <row r="781" spans="1:3" ht="15.75" customHeight="1" x14ac:dyDescent="0.25">
      <c r="A781" s="6"/>
      <c r="C781" s="51"/>
    </row>
    <row r="782" spans="1:3" ht="15.75" customHeight="1" x14ac:dyDescent="0.25">
      <c r="A782" s="6"/>
      <c r="C782" s="51"/>
    </row>
    <row r="783" spans="1:3" ht="15.75" customHeight="1" x14ac:dyDescent="0.25">
      <c r="A783" s="6"/>
      <c r="C783" s="51"/>
    </row>
    <row r="784" spans="1:3" ht="15.75" customHeight="1" x14ac:dyDescent="0.25">
      <c r="A784" s="6"/>
      <c r="C784" s="51"/>
    </row>
    <row r="785" spans="1:3" ht="15.75" customHeight="1" x14ac:dyDescent="0.25">
      <c r="A785" s="6"/>
      <c r="C785" s="51"/>
    </row>
    <row r="786" spans="1:3" ht="15.75" customHeight="1" x14ac:dyDescent="0.25">
      <c r="A786" s="6"/>
      <c r="C786" s="51"/>
    </row>
    <row r="787" spans="1:3" ht="15.75" customHeight="1" x14ac:dyDescent="0.25">
      <c r="A787" s="6"/>
      <c r="C787" s="51"/>
    </row>
    <row r="788" spans="1:3" ht="15.75" customHeight="1" x14ac:dyDescent="0.25">
      <c r="A788" s="6"/>
      <c r="C788" s="51"/>
    </row>
    <row r="789" spans="1:3" ht="15.75" customHeight="1" x14ac:dyDescent="0.25">
      <c r="A789" s="6"/>
      <c r="C789" s="51"/>
    </row>
    <row r="790" spans="1:3" ht="15.75" customHeight="1" x14ac:dyDescent="0.25">
      <c r="A790" s="6"/>
      <c r="C790" s="51"/>
    </row>
    <row r="791" spans="1:3" ht="15.75" customHeight="1" x14ac:dyDescent="0.25">
      <c r="A791" s="6"/>
      <c r="C791" s="51"/>
    </row>
    <row r="792" spans="1:3" ht="15.75" customHeight="1" x14ac:dyDescent="0.25">
      <c r="A792" s="6"/>
      <c r="C792" s="51"/>
    </row>
    <row r="793" spans="1:3" ht="15.75" customHeight="1" x14ac:dyDescent="0.25">
      <c r="A793" s="6"/>
      <c r="C793" s="51"/>
    </row>
    <row r="794" spans="1:3" ht="15.75" customHeight="1" x14ac:dyDescent="0.25">
      <c r="A794" s="6"/>
      <c r="C794" s="51"/>
    </row>
    <row r="795" spans="1:3" ht="15.75" customHeight="1" x14ac:dyDescent="0.25">
      <c r="A795" s="6"/>
      <c r="C795" s="51"/>
    </row>
    <row r="796" spans="1:3" ht="15.75" customHeight="1" x14ac:dyDescent="0.25">
      <c r="A796" s="6"/>
      <c r="C796" s="51"/>
    </row>
    <row r="797" spans="1:3" ht="15.75" customHeight="1" x14ac:dyDescent="0.25">
      <c r="A797" s="6"/>
      <c r="C797" s="51"/>
    </row>
    <row r="798" spans="1:3" ht="15.75" customHeight="1" x14ac:dyDescent="0.25">
      <c r="A798" s="6"/>
      <c r="C798" s="51"/>
    </row>
    <row r="799" spans="1:3" ht="15.75" customHeight="1" x14ac:dyDescent="0.25">
      <c r="A799" s="6"/>
      <c r="C799" s="51"/>
    </row>
    <row r="800" spans="1:3" ht="15.75" customHeight="1" x14ac:dyDescent="0.25">
      <c r="A800" s="6"/>
      <c r="C800" s="51"/>
    </row>
    <row r="801" spans="1:3" ht="15.75" customHeight="1" x14ac:dyDescent="0.25">
      <c r="A801" s="6"/>
      <c r="C801" s="51"/>
    </row>
    <row r="802" spans="1:3" ht="15.75" customHeight="1" x14ac:dyDescent="0.25">
      <c r="A802" s="6"/>
      <c r="C802" s="51"/>
    </row>
    <row r="803" spans="1:3" ht="15.75" customHeight="1" x14ac:dyDescent="0.25">
      <c r="A803" s="6"/>
      <c r="C803" s="51"/>
    </row>
    <row r="804" spans="1:3" ht="15.75" customHeight="1" x14ac:dyDescent="0.25">
      <c r="A804" s="6"/>
      <c r="C804" s="51"/>
    </row>
    <row r="805" spans="1:3" ht="15.75" customHeight="1" x14ac:dyDescent="0.25">
      <c r="A805" s="6"/>
      <c r="C805" s="51"/>
    </row>
    <row r="806" spans="1:3" ht="15.75" customHeight="1" x14ac:dyDescent="0.25">
      <c r="A806" s="6"/>
      <c r="C806" s="51"/>
    </row>
    <row r="807" spans="1:3" ht="15.75" customHeight="1" x14ac:dyDescent="0.25">
      <c r="A807" s="6"/>
      <c r="C807" s="51"/>
    </row>
    <row r="808" spans="1:3" ht="15.75" customHeight="1" x14ac:dyDescent="0.25">
      <c r="A808" s="6"/>
      <c r="C808" s="51"/>
    </row>
    <row r="809" spans="1:3" ht="15.75" customHeight="1" x14ac:dyDescent="0.25">
      <c r="A809" s="6"/>
      <c r="C809" s="51"/>
    </row>
    <row r="810" spans="1:3" ht="15.75" customHeight="1" x14ac:dyDescent="0.25">
      <c r="A810" s="6"/>
      <c r="C810" s="51"/>
    </row>
    <row r="811" spans="1:3" ht="15.75" customHeight="1" x14ac:dyDescent="0.25">
      <c r="A811" s="6"/>
      <c r="C811" s="51"/>
    </row>
    <row r="812" spans="1:3" ht="15.75" customHeight="1" x14ac:dyDescent="0.25">
      <c r="A812" s="6"/>
      <c r="C812" s="51"/>
    </row>
    <row r="813" spans="1:3" ht="15.75" customHeight="1" x14ac:dyDescent="0.25">
      <c r="A813" s="6"/>
      <c r="C813" s="51"/>
    </row>
    <row r="814" spans="1:3" ht="15.75" customHeight="1" x14ac:dyDescent="0.25">
      <c r="A814" s="6"/>
      <c r="C814" s="51"/>
    </row>
    <row r="815" spans="1:3" ht="15.75" customHeight="1" x14ac:dyDescent="0.25">
      <c r="A815" s="6"/>
      <c r="C815" s="51"/>
    </row>
    <row r="816" spans="1:3" ht="15.75" customHeight="1" x14ac:dyDescent="0.25">
      <c r="A816" s="6"/>
      <c r="C816" s="51"/>
    </row>
    <row r="817" spans="1:3" ht="15.75" customHeight="1" x14ac:dyDescent="0.25">
      <c r="A817" s="6"/>
      <c r="C817" s="51"/>
    </row>
    <row r="818" spans="1:3" ht="15.75" customHeight="1" x14ac:dyDescent="0.25">
      <c r="A818" s="6"/>
      <c r="C818" s="51"/>
    </row>
    <row r="819" spans="1:3" ht="15.75" customHeight="1" x14ac:dyDescent="0.25">
      <c r="A819" s="6"/>
      <c r="C819" s="51"/>
    </row>
    <row r="820" spans="1:3" ht="15.75" customHeight="1" x14ac:dyDescent="0.25">
      <c r="A820" s="6"/>
      <c r="C820" s="51"/>
    </row>
    <row r="821" spans="1:3" ht="15.75" customHeight="1" x14ac:dyDescent="0.25">
      <c r="A821" s="6"/>
      <c r="C821" s="51"/>
    </row>
    <row r="822" spans="1:3" ht="15.75" customHeight="1" x14ac:dyDescent="0.25">
      <c r="A822" s="6"/>
      <c r="C822" s="51"/>
    </row>
    <row r="823" spans="1:3" ht="15.75" customHeight="1" x14ac:dyDescent="0.25">
      <c r="A823" s="6"/>
      <c r="C823" s="51"/>
    </row>
    <row r="824" spans="1:3" ht="15.75" customHeight="1" x14ac:dyDescent="0.25">
      <c r="A824" s="6"/>
      <c r="C824" s="51"/>
    </row>
    <row r="825" spans="1:3" ht="15.75" customHeight="1" x14ac:dyDescent="0.25">
      <c r="A825" s="6"/>
      <c r="C825" s="51"/>
    </row>
    <row r="826" spans="1:3" ht="15.75" customHeight="1" x14ac:dyDescent="0.25">
      <c r="A826" s="6"/>
      <c r="C826" s="51"/>
    </row>
    <row r="827" spans="1:3" ht="15.75" customHeight="1" x14ac:dyDescent="0.25">
      <c r="A827" s="6"/>
      <c r="C827" s="51"/>
    </row>
    <row r="828" spans="1:3" ht="15.75" customHeight="1" x14ac:dyDescent="0.25">
      <c r="A828" s="6"/>
      <c r="C828" s="51"/>
    </row>
    <row r="829" spans="1:3" ht="15.75" customHeight="1" x14ac:dyDescent="0.25">
      <c r="A829" s="6"/>
      <c r="C829" s="51"/>
    </row>
    <row r="830" spans="1:3" ht="15.75" customHeight="1" x14ac:dyDescent="0.25">
      <c r="A830" s="6"/>
      <c r="C830" s="51"/>
    </row>
    <row r="831" spans="1:3" ht="15.75" customHeight="1" x14ac:dyDescent="0.25">
      <c r="A831" s="6"/>
      <c r="C831" s="51"/>
    </row>
    <row r="832" spans="1:3" ht="15.75" customHeight="1" x14ac:dyDescent="0.25">
      <c r="A832" s="6"/>
      <c r="C832" s="51"/>
    </row>
    <row r="833" spans="1:3" ht="15.75" customHeight="1" x14ac:dyDescent="0.25">
      <c r="A833" s="6"/>
      <c r="C833" s="51"/>
    </row>
    <row r="834" spans="1:3" ht="15.75" customHeight="1" x14ac:dyDescent="0.25">
      <c r="A834" s="6"/>
      <c r="C834" s="51"/>
    </row>
    <row r="835" spans="1:3" ht="15.75" customHeight="1" x14ac:dyDescent="0.25">
      <c r="A835" s="6"/>
      <c r="C835" s="51"/>
    </row>
    <row r="836" spans="1:3" ht="15.75" customHeight="1" x14ac:dyDescent="0.25">
      <c r="A836" s="6"/>
      <c r="C836" s="51"/>
    </row>
    <row r="837" spans="1:3" ht="15.75" customHeight="1" x14ac:dyDescent="0.25">
      <c r="A837" s="6"/>
      <c r="C837" s="51"/>
    </row>
    <row r="838" spans="1:3" ht="15.75" customHeight="1" x14ac:dyDescent="0.25">
      <c r="A838" s="6"/>
      <c r="C838" s="51"/>
    </row>
    <row r="839" spans="1:3" ht="15.75" customHeight="1" x14ac:dyDescent="0.25">
      <c r="A839" s="6"/>
      <c r="C839" s="51"/>
    </row>
    <row r="840" spans="1:3" ht="15.75" customHeight="1" x14ac:dyDescent="0.25">
      <c r="A840" s="6"/>
      <c r="C840" s="51"/>
    </row>
    <row r="841" spans="1:3" ht="15.75" customHeight="1" x14ac:dyDescent="0.25">
      <c r="A841" s="6"/>
      <c r="C841" s="51"/>
    </row>
    <row r="842" spans="1:3" ht="15.75" customHeight="1" x14ac:dyDescent="0.25">
      <c r="A842" s="6"/>
      <c r="C842" s="51"/>
    </row>
    <row r="843" spans="1:3" ht="15.75" customHeight="1" x14ac:dyDescent="0.25">
      <c r="A843" s="6"/>
      <c r="C843" s="51"/>
    </row>
    <row r="844" spans="1:3" ht="15.75" customHeight="1" x14ac:dyDescent="0.25">
      <c r="A844" s="6"/>
      <c r="C844" s="51"/>
    </row>
    <row r="845" spans="1:3" ht="15.75" customHeight="1" x14ac:dyDescent="0.25">
      <c r="A845" s="6"/>
      <c r="C845" s="51"/>
    </row>
    <row r="846" spans="1:3" ht="15.75" customHeight="1" x14ac:dyDescent="0.25">
      <c r="A846" s="6"/>
      <c r="C846" s="51"/>
    </row>
    <row r="847" spans="1:3" ht="15.75" customHeight="1" x14ac:dyDescent="0.25">
      <c r="A847" s="6"/>
      <c r="C847" s="51"/>
    </row>
    <row r="848" spans="1:3" ht="15.75" customHeight="1" x14ac:dyDescent="0.25">
      <c r="A848" s="6"/>
      <c r="C848" s="51"/>
    </row>
    <row r="849" spans="1:3" ht="15.75" customHeight="1" x14ac:dyDescent="0.25">
      <c r="A849" s="6"/>
      <c r="C849" s="51"/>
    </row>
    <row r="850" spans="1:3" ht="15.75" customHeight="1" x14ac:dyDescent="0.25">
      <c r="A850" s="6"/>
      <c r="C850" s="51"/>
    </row>
    <row r="851" spans="1:3" ht="15.75" customHeight="1" x14ac:dyDescent="0.25">
      <c r="A851" s="6"/>
      <c r="C851" s="51"/>
    </row>
    <row r="852" spans="1:3" ht="15.75" customHeight="1" x14ac:dyDescent="0.25">
      <c r="A852" s="6"/>
      <c r="C852" s="51"/>
    </row>
    <row r="853" spans="1:3" ht="15.75" customHeight="1" x14ac:dyDescent="0.25">
      <c r="A853" s="6"/>
      <c r="C853" s="51"/>
    </row>
    <row r="854" spans="1:3" ht="15.75" customHeight="1" x14ac:dyDescent="0.25">
      <c r="A854" s="6"/>
      <c r="C854" s="51"/>
    </row>
    <row r="855" spans="1:3" ht="15.75" customHeight="1" x14ac:dyDescent="0.25">
      <c r="A855" s="6"/>
      <c r="C855" s="51"/>
    </row>
    <row r="856" spans="1:3" ht="15.75" customHeight="1" x14ac:dyDescent="0.25">
      <c r="A856" s="6"/>
      <c r="C856" s="51"/>
    </row>
    <row r="857" spans="1:3" ht="15.75" customHeight="1" x14ac:dyDescent="0.25">
      <c r="A857" s="6"/>
      <c r="C857" s="51"/>
    </row>
    <row r="858" spans="1:3" ht="15.75" customHeight="1" x14ac:dyDescent="0.25">
      <c r="A858" s="6"/>
      <c r="C858" s="51"/>
    </row>
    <row r="859" spans="1:3" ht="15.75" customHeight="1" x14ac:dyDescent="0.25">
      <c r="A859" s="6"/>
      <c r="C859" s="51"/>
    </row>
    <row r="860" spans="1:3" ht="15.75" customHeight="1" x14ac:dyDescent="0.25">
      <c r="A860" s="6"/>
      <c r="C860" s="51"/>
    </row>
    <row r="861" spans="1:3" ht="15.75" customHeight="1" x14ac:dyDescent="0.25">
      <c r="A861" s="6"/>
      <c r="C861" s="51"/>
    </row>
    <row r="862" spans="1:3" ht="15.75" customHeight="1" x14ac:dyDescent="0.25">
      <c r="A862" s="6"/>
      <c r="C862" s="51"/>
    </row>
    <row r="863" spans="1:3" ht="15.75" customHeight="1" x14ac:dyDescent="0.25">
      <c r="A863" s="6"/>
      <c r="C863" s="51"/>
    </row>
    <row r="864" spans="1:3" ht="15.75" customHeight="1" x14ac:dyDescent="0.25">
      <c r="A864" s="6"/>
      <c r="C864" s="51"/>
    </row>
    <row r="865" spans="1:3" ht="15.75" customHeight="1" x14ac:dyDescent="0.25">
      <c r="A865" s="6"/>
      <c r="C865" s="51"/>
    </row>
    <row r="866" spans="1:3" ht="15.75" customHeight="1" x14ac:dyDescent="0.25">
      <c r="A866" s="6"/>
      <c r="C866" s="51"/>
    </row>
    <row r="867" spans="1:3" ht="15.75" customHeight="1" x14ac:dyDescent="0.25">
      <c r="A867" s="6"/>
      <c r="C867" s="51"/>
    </row>
    <row r="868" spans="1:3" ht="15.75" customHeight="1" x14ac:dyDescent="0.25">
      <c r="A868" s="6"/>
      <c r="C868" s="51"/>
    </row>
    <row r="869" spans="1:3" ht="15.75" customHeight="1" x14ac:dyDescent="0.25">
      <c r="A869" s="6"/>
      <c r="C869" s="51"/>
    </row>
    <row r="870" spans="1:3" ht="15.75" customHeight="1" x14ac:dyDescent="0.25">
      <c r="A870" s="6"/>
      <c r="C870" s="51"/>
    </row>
    <row r="871" spans="1:3" ht="15.75" customHeight="1" x14ac:dyDescent="0.25">
      <c r="A871" s="6"/>
      <c r="C871" s="51"/>
    </row>
    <row r="872" spans="1:3" ht="15.75" customHeight="1" x14ac:dyDescent="0.25">
      <c r="A872" s="6"/>
      <c r="C872" s="51"/>
    </row>
    <row r="873" spans="1:3" ht="15.75" customHeight="1" x14ac:dyDescent="0.25">
      <c r="A873" s="6"/>
      <c r="C873" s="51"/>
    </row>
    <row r="874" spans="1:3" ht="15.75" customHeight="1" x14ac:dyDescent="0.25">
      <c r="A874" s="6"/>
      <c r="C874" s="51"/>
    </row>
    <row r="875" spans="1:3" ht="15.75" customHeight="1" x14ac:dyDescent="0.25">
      <c r="A875" s="6"/>
      <c r="C875" s="51"/>
    </row>
    <row r="876" spans="1:3" ht="15.75" customHeight="1" x14ac:dyDescent="0.25">
      <c r="A876" s="6"/>
      <c r="C876" s="51"/>
    </row>
    <row r="877" spans="1:3" ht="15.75" customHeight="1" x14ac:dyDescent="0.25">
      <c r="A877" s="6"/>
      <c r="C877" s="51"/>
    </row>
    <row r="878" spans="1:3" ht="15.75" customHeight="1" x14ac:dyDescent="0.25">
      <c r="A878" s="6"/>
      <c r="C878" s="51"/>
    </row>
    <row r="879" spans="1:3" ht="15.75" customHeight="1" x14ac:dyDescent="0.25">
      <c r="A879" s="6"/>
      <c r="C879" s="51"/>
    </row>
    <row r="880" spans="1:3" ht="15.75" customHeight="1" x14ac:dyDescent="0.25">
      <c r="A880" s="6"/>
      <c r="C880" s="51"/>
    </row>
    <row r="881" spans="1:3" ht="15.75" customHeight="1" x14ac:dyDescent="0.25">
      <c r="A881" s="6"/>
      <c r="C881" s="51"/>
    </row>
    <row r="882" spans="1:3" ht="15.75" customHeight="1" x14ac:dyDescent="0.25">
      <c r="A882" s="6"/>
      <c r="C882" s="51"/>
    </row>
    <row r="883" spans="1:3" ht="15.75" customHeight="1" x14ac:dyDescent="0.25">
      <c r="A883" s="6"/>
      <c r="C883" s="51"/>
    </row>
    <row r="884" spans="1:3" ht="15.75" customHeight="1" x14ac:dyDescent="0.25">
      <c r="A884" s="6"/>
      <c r="C884" s="51"/>
    </row>
    <row r="885" spans="1:3" ht="15.75" customHeight="1" x14ac:dyDescent="0.25">
      <c r="A885" s="6"/>
      <c r="C885" s="51"/>
    </row>
    <row r="886" spans="1:3" ht="15.75" customHeight="1" x14ac:dyDescent="0.25">
      <c r="A886" s="6"/>
      <c r="C886" s="51"/>
    </row>
    <row r="887" spans="1:3" ht="15.75" customHeight="1" x14ac:dyDescent="0.25">
      <c r="A887" s="6"/>
      <c r="C887" s="51"/>
    </row>
    <row r="888" spans="1:3" ht="15.75" customHeight="1" x14ac:dyDescent="0.25">
      <c r="A888" s="6"/>
      <c r="C888" s="51"/>
    </row>
    <row r="889" spans="1:3" ht="15.75" customHeight="1" x14ac:dyDescent="0.25">
      <c r="A889" s="6"/>
      <c r="C889" s="51"/>
    </row>
    <row r="890" spans="1:3" ht="15.75" customHeight="1" x14ac:dyDescent="0.25">
      <c r="A890" s="6"/>
      <c r="C890" s="51"/>
    </row>
    <row r="891" spans="1:3" ht="15.75" customHeight="1" x14ac:dyDescent="0.25">
      <c r="A891" s="6"/>
      <c r="C891" s="51"/>
    </row>
    <row r="892" spans="1:3" ht="15.75" customHeight="1" x14ac:dyDescent="0.25">
      <c r="A892" s="6"/>
      <c r="C892" s="51"/>
    </row>
    <row r="893" spans="1:3" ht="15.75" customHeight="1" x14ac:dyDescent="0.25">
      <c r="A893" s="6"/>
      <c r="C893" s="51"/>
    </row>
    <row r="894" spans="1:3" ht="15.75" customHeight="1" x14ac:dyDescent="0.25">
      <c r="A894" s="6"/>
      <c r="C894" s="51"/>
    </row>
    <row r="895" spans="1:3" ht="15.75" customHeight="1" x14ac:dyDescent="0.25">
      <c r="A895" s="6"/>
      <c r="C895" s="51"/>
    </row>
    <row r="896" spans="1:3" ht="15.75" customHeight="1" x14ac:dyDescent="0.25">
      <c r="A896" s="6"/>
      <c r="C896" s="51"/>
    </row>
    <row r="897" spans="1:3" ht="15.75" customHeight="1" x14ac:dyDescent="0.25">
      <c r="A897" s="6"/>
      <c r="C897" s="51"/>
    </row>
    <row r="898" spans="1:3" ht="15.75" customHeight="1" x14ac:dyDescent="0.25">
      <c r="A898" s="6"/>
      <c r="C898" s="51"/>
    </row>
    <row r="899" spans="1:3" ht="15.75" customHeight="1" x14ac:dyDescent="0.25">
      <c r="A899" s="6"/>
      <c r="C899" s="51"/>
    </row>
    <row r="900" spans="1:3" ht="15.75" customHeight="1" x14ac:dyDescent="0.25">
      <c r="A900" s="6"/>
      <c r="C900" s="51"/>
    </row>
    <row r="901" spans="1:3" ht="15.75" customHeight="1" x14ac:dyDescent="0.25">
      <c r="A901" s="6"/>
      <c r="C901" s="51"/>
    </row>
    <row r="902" spans="1:3" ht="15.75" customHeight="1" x14ac:dyDescent="0.25">
      <c r="A902" s="6"/>
      <c r="C902" s="51"/>
    </row>
    <row r="903" spans="1:3" ht="15.75" customHeight="1" x14ac:dyDescent="0.25">
      <c r="A903" s="6"/>
      <c r="C903" s="51"/>
    </row>
    <row r="904" spans="1:3" ht="15.75" customHeight="1" x14ac:dyDescent="0.25">
      <c r="A904" s="6"/>
      <c r="C904" s="51"/>
    </row>
    <row r="905" spans="1:3" ht="15.75" customHeight="1" x14ac:dyDescent="0.25">
      <c r="A905" s="6"/>
      <c r="C905" s="51"/>
    </row>
    <row r="906" spans="1:3" ht="15.75" customHeight="1" x14ac:dyDescent="0.25">
      <c r="A906" s="6"/>
      <c r="C906" s="51"/>
    </row>
    <row r="907" spans="1:3" ht="15.75" customHeight="1" x14ac:dyDescent="0.25">
      <c r="A907" s="6"/>
      <c r="C907" s="51"/>
    </row>
    <row r="908" spans="1:3" ht="15.75" customHeight="1" x14ac:dyDescent="0.25">
      <c r="A908" s="6"/>
      <c r="C908" s="51"/>
    </row>
    <row r="909" spans="1:3" ht="15.75" customHeight="1" x14ac:dyDescent="0.25">
      <c r="A909" s="6"/>
      <c r="C909" s="51"/>
    </row>
    <row r="910" spans="1:3" ht="15.75" customHeight="1" x14ac:dyDescent="0.25">
      <c r="A910" s="6"/>
      <c r="C910" s="51"/>
    </row>
    <row r="911" spans="1:3" ht="15.75" customHeight="1" x14ac:dyDescent="0.25">
      <c r="A911" s="6"/>
      <c r="C911" s="51"/>
    </row>
    <row r="912" spans="1:3" ht="15.75" customHeight="1" x14ac:dyDescent="0.25">
      <c r="A912" s="6"/>
      <c r="C912" s="51"/>
    </row>
    <row r="913" spans="1:3" ht="15.75" customHeight="1" x14ac:dyDescent="0.25">
      <c r="A913" s="6"/>
      <c r="C913" s="51"/>
    </row>
    <row r="914" spans="1:3" ht="15.75" customHeight="1" x14ac:dyDescent="0.25">
      <c r="A914" s="6"/>
      <c r="C914" s="51"/>
    </row>
    <row r="915" spans="1:3" ht="15.75" customHeight="1" x14ac:dyDescent="0.25">
      <c r="A915" s="6"/>
      <c r="C915" s="51"/>
    </row>
    <row r="916" spans="1:3" ht="15.75" customHeight="1" x14ac:dyDescent="0.25">
      <c r="A916" s="6"/>
      <c r="C916" s="51"/>
    </row>
    <row r="917" spans="1:3" ht="15.75" customHeight="1" x14ac:dyDescent="0.25">
      <c r="A917" s="6"/>
      <c r="C917" s="51"/>
    </row>
    <row r="918" spans="1:3" ht="15.75" customHeight="1" x14ac:dyDescent="0.25">
      <c r="A918" s="6"/>
      <c r="C918" s="51"/>
    </row>
    <row r="919" spans="1:3" ht="15.75" customHeight="1" x14ac:dyDescent="0.25">
      <c r="A919" s="6"/>
      <c r="C919" s="51"/>
    </row>
    <row r="920" spans="1:3" ht="15.75" customHeight="1" x14ac:dyDescent="0.25">
      <c r="A920" s="6"/>
      <c r="C920" s="51"/>
    </row>
    <row r="921" spans="1:3" ht="15.75" customHeight="1" x14ac:dyDescent="0.25">
      <c r="A921" s="6"/>
      <c r="C921" s="51"/>
    </row>
    <row r="922" spans="1:3" ht="15.75" customHeight="1" x14ac:dyDescent="0.25">
      <c r="A922" s="6"/>
      <c r="C922" s="51"/>
    </row>
    <row r="923" spans="1:3" ht="15.75" customHeight="1" x14ac:dyDescent="0.25">
      <c r="A923" s="6"/>
      <c r="C923" s="51"/>
    </row>
    <row r="924" spans="1:3" ht="15.75" customHeight="1" x14ac:dyDescent="0.25">
      <c r="A924" s="6"/>
      <c r="C924" s="51"/>
    </row>
    <row r="925" spans="1:3" ht="15.75" customHeight="1" x14ac:dyDescent="0.25">
      <c r="A925" s="6"/>
      <c r="C925" s="51"/>
    </row>
    <row r="926" spans="1:3" ht="15.75" customHeight="1" x14ac:dyDescent="0.25">
      <c r="A926" s="6"/>
      <c r="C926" s="51"/>
    </row>
    <row r="927" spans="1:3" ht="15.75" customHeight="1" x14ac:dyDescent="0.25">
      <c r="A927" s="6"/>
      <c r="C927" s="51"/>
    </row>
    <row r="928" spans="1:3" ht="15.75" customHeight="1" x14ac:dyDescent="0.25">
      <c r="A928" s="6"/>
      <c r="C928" s="51"/>
    </row>
    <row r="929" spans="1:3" ht="15.75" customHeight="1" x14ac:dyDescent="0.25">
      <c r="A929" s="6"/>
      <c r="C929" s="51"/>
    </row>
    <row r="930" spans="1:3" ht="15.75" customHeight="1" x14ac:dyDescent="0.25">
      <c r="A930" s="6"/>
      <c r="C930" s="51"/>
    </row>
    <row r="931" spans="1:3" ht="15.75" customHeight="1" x14ac:dyDescent="0.25">
      <c r="A931" s="6"/>
      <c r="C931" s="51"/>
    </row>
    <row r="932" spans="1:3" ht="15.75" customHeight="1" x14ac:dyDescent="0.25">
      <c r="A932" s="6"/>
      <c r="C932" s="51"/>
    </row>
    <row r="933" spans="1:3" ht="15.75" customHeight="1" x14ac:dyDescent="0.25">
      <c r="A933" s="6"/>
      <c r="C933" s="51"/>
    </row>
    <row r="934" spans="1:3" ht="15.75" customHeight="1" x14ac:dyDescent="0.25">
      <c r="A934" s="6"/>
      <c r="C934" s="51"/>
    </row>
    <row r="935" spans="1:3" ht="15.75" customHeight="1" x14ac:dyDescent="0.25">
      <c r="A935" s="6"/>
      <c r="C935" s="51"/>
    </row>
    <row r="936" spans="1:3" ht="15.75" customHeight="1" x14ac:dyDescent="0.25">
      <c r="A936" s="6"/>
      <c r="C936" s="51"/>
    </row>
    <row r="937" spans="1:3" ht="15.75" customHeight="1" x14ac:dyDescent="0.25">
      <c r="A937" s="6"/>
      <c r="C937" s="51"/>
    </row>
    <row r="938" spans="1:3" ht="15.75" customHeight="1" x14ac:dyDescent="0.25">
      <c r="A938" s="6"/>
      <c r="C938" s="51"/>
    </row>
    <row r="939" spans="1:3" ht="15.75" customHeight="1" x14ac:dyDescent="0.25">
      <c r="A939" s="6"/>
      <c r="C939" s="51"/>
    </row>
    <row r="940" spans="1:3" ht="15.75" customHeight="1" x14ac:dyDescent="0.25">
      <c r="A940" s="6"/>
      <c r="C940" s="51"/>
    </row>
    <row r="941" spans="1:3" ht="15.75" customHeight="1" x14ac:dyDescent="0.25">
      <c r="A941" s="6"/>
      <c r="C941" s="51"/>
    </row>
    <row r="942" spans="1:3" ht="15.75" customHeight="1" x14ac:dyDescent="0.25">
      <c r="A942" s="6"/>
      <c r="C942" s="51"/>
    </row>
    <row r="943" spans="1:3" ht="15.75" customHeight="1" x14ac:dyDescent="0.25">
      <c r="A943" s="6"/>
      <c r="C943" s="51"/>
    </row>
    <row r="944" spans="1:3" ht="15.75" customHeight="1" x14ac:dyDescent="0.25">
      <c r="A944" s="6"/>
      <c r="C944" s="51"/>
    </row>
    <row r="945" spans="1:3" ht="15.75" customHeight="1" x14ac:dyDescent="0.25">
      <c r="A945" s="6"/>
      <c r="C945" s="51"/>
    </row>
    <row r="946" spans="1:3" ht="15.75" customHeight="1" x14ac:dyDescent="0.25">
      <c r="A946" s="6"/>
      <c r="C946" s="51"/>
    </row>
    <row r="947" spans="1:3" ht="15.75" customHeight="1" x14ac:dyDescent="0.25">
      <c r="A947" s="6"/>
      <c r="C947" s="51"/>
    </row>
    <row r="948" spans="1:3" ht="15.75" customHeight="1" x14ac:dyDescent="0.25">
      <c r="A948" s="6"/>
      <c r="C948" s="51"/>
    </row>
    <row r="949" spans="1:3" ht="15.75" customHeight="1" x14ac:dyDescent="0.25">
      <c r="A949" s="6"/>
      <c r="C949" s="51"/>
    </row>
    <row r="950" spans="1:3" ht="15.75" customHeight="1" x14ac:dyDescent="0.25">
      <c r="A950" s="6"/>
      <c r="C950" s="51"/>
    </row>
    <row r="951" spans="1:3" ht="15.75" customHeight="1" x14ac:dyDescent="0.25">
      <c r="A951" s="6"/>
      <c r="C951" s="51"/>
    </row>
    <row r="952" spans="1:3" ht="15.75" customHeight="1" x14ac:dyDescent="0.25">
      <c r="A952" s="6"/>
      <c r="C952" s="51"/>
    </row>
    <row r="953" spans="1:3" ht="15.75" customHeight="1" x14ac:dyDescent="0.25">
      <c r="A953" s="6"/>
      <c r="C953" s="51"/>
    </row>
    <row r="954" spans="1:3" ht="15.75" customHeight="1" x14ac:dyDescent="0.25">
      <c r="A954" s="6"/>
      <c r="C954" s="51"/>
    </row>
    <row r="955" spans="1:3" ht="15.75" customHeight="1" x14ac:dyDescent="0.25">
      <c r="A955" s="6"/>
      <c r="C955" s="51"/>
    </row>
    <row r="956" spans="1:3" ht="15.75" customHeight="1" x14ac:dyDescent="0.25">
      <c r="A956" s="6"/>
      <c r="C956" s="51"/>
    </row>
    <row r="957" spans="1:3" ht="15.75" customHeight="1" x14ac:dyDescent="0.25">
      <c r="A957" s="6"/>
      <c r="C957" s="51"/>
    </row>
    <row r="958" spans="1:3" ht="15.75" customHeight="1" x14ac:dyDescent="0.25">
      <c r="A958" s="6"/>
      <c r="C958" s="51"/>
    </row>
    <row r="959" spans="1:3" ht="15.75" customHeight="1" x14ac:dyDescent="0.25">
      <c r="A959" s="6"/>
      <c r="C959" s="51"/>
    </row>
    <row r="960" spans="1:3" ht="15.75" customHeight="1" x14ac:dyDescent="0.25">
      <c r="A960" s="6"/>
      <c r="C960" s="51"/>
    </row>
    <row r="961" spans="1:3" ht="15.75" customHeight="1" x14ac:dyDescent="0.25">
      <c r="A961" s="6"/>
      <c r="C961" s="51"/>
    </row>
    <row r="962" spans="1:3" ht="15.75" customHeight="1" x14ac:dyDescent="0.25">
      <c r="A962" s="6"/>
      <c r="C962" s="51"/>
    </row>
    <row r="963" spans="1:3" ht="15.75" customHeight="1" x14ac:dyDescent="0.25">
      <c r="A963" s="6"/>
      <c r="C963" s="51"/>
    </row>
    <row r="964" spans="1:3" ht="15.75" customHeight="1" x14ac:dyDescent="0.25">
      <c r="A964" s="6"/>
      <c r="C964" s="51"/>
    </row>
    <row r="965" spans="1:3" ht="15.75" customHeight="1" x14ac:dyDescent="0.25">
      <c r="A965" s="6"/>
      <c r="C965" s="51"/>
    </row>
    <row r="966" spans="1:3" ht="15.75" customHeight="1" x14ac:dyDescent="0.25">
      <c r="A966" s="6"/>
      <c r="C966" s="51"/>
    </row>
    <row r="967" spans="1:3" ht="15.75" customHeight="1" x14ac:dyDescent="0.25">
      <c r="A967" s="6"/>
      <c r="C967" s="51"/>
    </row>
    <row r="968" spans="1:3" ht="15.75" customHeight="1" x14ac:dyDescent="0.25">
      <c r="A968" s="6"/>
      <c r="C968" s="51"/>
    </row>
    <row r="969" spans="1:3" ht="15.75" customHeight="1" x14ac:dyDescent="0.25">
      <c r="A969" s="6"/>
      <c r="C969" s="51"/>
    </row>
    <row r="970" spans="1:3" ht="15.75" customHeight="1" x14ac:dyDescent="0.25">
      <c r="A970" s="6"/>
      <c r="C970" s="51"/>
    </row>
    <row r="971" spans="1:3" ht="15.75" customHeight="1" x14ac:dyDescent="0.25">
      <c r="A971" s="6"/>
      <c r="C971" s="51"/>
    </row>
    <row r="972" spans="1:3" ht="15.75" customHeight="1" x14ac:dyDescent="0.25">
      <c r="A972" s="6"/>
      <c r="C972" s="51"/>
    </row>
    <row r="973" spans="1:3" ht="15.75" customHeight="1" x14ac:dyDescent="0.25">
      <c r="A973" s="6"/>
      <c r="C973" s="51"/>
    </row>
    <row r="974" spans="1:3" ht="15.75" customHeight="1" x14ac:dyDescent="0.25">
      <c r="A974" s="6"/>
      <c r="C974" s="51"/>
    </row>
    <row r="975" spans="1:3" ht="15.75" customHeight="1" x14ac:dyDescent="0.25">
      <c r="A975" s="6"/>
      <c r="C975" s="51"/>
    </row>
    <row r="976" spans="1:3" ht="15.75" customHeight="1" x14ac:dyDescent="0.25">
      <c r="A976" s="6"/>
      <c r="C976" s="51"/>
    </row>
    <row r="977" spans="1:3" ht="15.75" customHeight="1" x14ac:dyDescent="0.25">
      <c r="A977" s="6"/>
      <c r="C977" s="51"/>
    </row>
    <row r="978" spans="1:3" ht="15.75" customHeight="1" x14ac:dyDescent="0.25">
      <c r="A978" s="6"/>
      <c r="C978" s="51"/>
    </row>
    <row r="979" spans="1:3" ht="15.75" customHeight="1" x14ac:dyDescent="0.25">
      <c r="A979" s="6"/>
      <c r="C979" s="51"/>
    </row>
    <row r="980" spans="1:3" ht="15.75" customHeight="1" x14ac:dyDescent="0.25">
      <c r="A980" s="6"/>
      <c r="C980" s="51"/>
    </row>
    <row r="981" spans="1:3" ht="15.75" customHeight="1" x14ac:dyDescent="0.25">
      <c r="A981" s="6"/>
      <c r="C981" s="51"/>
    </row>
    <row r="982" spans="1:3" ht="15.75" customHeight="1" x14ac:dyDescent="0.25">
      <c r="A982" s="6"/>
      <c r="C982" s="51"/>
    </row>
    <row r="983" spans="1:3" ht="15.75" customHeight="1" x14ac:dyDescent="0.25">
      <c r="A983" s="6"/>
      <c r="C983" s="51"/>
    </row>
    <row r="984" spans="1:3" ht="15.75" customHeight="1" x14ac:dyDescent="0.25">
      <c r="A984" s="6"/>
      <c r="C984" s="51"/>
    </row>
    <row r="985" spans="1:3" ht="15.75" customHeight="1" x14ac:dyDescent="0.25">
      <c r="A985" s="6"/>
      <c r="C985" s="51"/>
    </row>
    <row r="986" spans="1:3" ht="15.75" customHeight="1" x14ac:dyDescent="0.25">
      <c r="A986" s="6"/>
      <c r="C986" s="51"/>
    </row>
    <row r="987" spans="1:3" ht="15.75" customHeight="1" x14ac:dyDescent="0.25">
      <c r="A987" s="6"/>
      <c r="C987" s="51"/>
    </row>
    <row r="988" spans="1:3" ht="15.75" customHeight="1" x14ac:dyDescent="0.25">
      <c r="A988" s="6"/>
      <c r="C988" s="51"/>
    </row>
    <row r="989" spans="1:3" ht="15.75" customHeight="1" x14ac:dyDescent="0.25">
      <c r="A989" s="6"/>
      <c r="C989" s="51"/>
    </row>
    <row r="990" spans="1:3" ht="15.75" customHeight="1" x14ac:dyDescent="0.25">
      <c r="A990" s="6"/>
      <c r="C990" s="51"/>
    </row>
    <row r="991" spans="1:3" ht="15.75" customHeight="1" x14ac:dyDescent="0.25">
      <c r="A991" s="6"/>
      <c r="C991" s="51"/>
    </row>
    <row r="992" spans="1:3" ht="15.75" customHeight="1" x14ac:dyDescent="0.25">
      <c r="A992" s="6"/>
      <c r="C992" s="51"/>
    </row>
    <row r="993" spans="1:3" ht="15.75" customHeight="1" x14ac:dyDescent="0.25">
      <c r="A993" s="6"/>
      <c r="C993" s="51"/>
    </row>
    <row r="994" spans="1:3" ht="15.75" customHeight="1" x14ac:dyDescent="0.25">
      <c r="A994" s="6"/>
      <c r="C994" s="51"/>
    </row>
    <row r="995" spans="1:3" ht="15.75" customHeight="1" x14ac:dyDescent="0.25">
      <c r="A995" s="6"/>
      <c r="C995" s="51"/>
    </row>
    <row r="996" spans="1:3" ht="15.75" customHeight="1" x14ac:dyDescent="0.25">
      <c r="A996" s="6"/>
      <c r="C996" s="51"/>
    </row>
    <row r="997" spans="1:3" ht="15.75" customHeight="1" x14ac:dyDescent="0.25">
      <c r="A997" s="6"/>
      <c r="C997" s="51"/>
    </row>
    <row r="998" spans="1:3" ht="15.75" customHeight="1" x14ac:dyDescent="0.25">
      <c r="A998" s="6"/>
      <c r="C998" s="51"/>
    </row>
    <row r="999" spans="1:3" ht="15.75" customHeight="1" x14ac:dyDescent="0.25">
      <c r="A999" s="6"/>
      <c r="C999" s="51"/>
    </row>
    <row r="1000" spans="1:3" ht="15.75" customHeight="1" x14ac:dyDescent="0.25">
      <c r="A1000" s="6"/>
      <c r="C1000" s="51"/>
    </row>
  </sheetData>
  <mergeCells count="2">
    <mergeCell ref="A1:T1"/>
    <mergeCell ref="A2:T2"/>
  </mergeCells>
  <conditionalFormatting sqref="A5:A48 B5:Z19 B20:C48">
    <cfRule type="colorScale" priority="1">
      <colorScale>
        <cfvo type="min"/>
        <cfvo type="percentile" val="50"/>
        <cfvo type="max"/>
        <color rgb="FFFAECE7"/>
        <color rgb="FFFAEEDA"/>
        <color rgb="FF1D9E75"/>
      </colorScale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Body Measurements</vt:lpstr>
      <vt:lpstr>Exercise Plan</vt:lpstr>
      <vt:lpstr>Strength 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State Audit Maharashtra I ID 55</cp:lastModifiedBy>
  <dcterms:created xsi:type="dcterms:W3CDTF">2026-03-26T19:59:00Z</dcterms:created>
  <dcterms:modified xsi:type="dcterms:W3CDTF">2026-04-08T07:48:55Z</dcterms:modified>
</cp:coreProperties>
</file>